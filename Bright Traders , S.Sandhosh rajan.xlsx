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s" sheetId="1" r:id="rId4"/>
    <sheet state="visible" name="Journal" sheetId="2" r:id="rId5"/>
    <sheet state="visible" name="Ledger" sheetId="3" r:id="rId6"/>
    <sheet state="visible" name="Trial balance" sheetId="4" r:id="rId7"/>
    <sheet state="visible" name="Trading Account" sheetId="5" r:id="rId8"/>
    <sheet state="visible" name="Profit &amp; Loss " sheetId="6" r:id="rId9"/>
    <sheet state="visible" name="Balancesheet" sheetId="7" r:id="rId10"/>
    <sheet state="visible" name="Ratio Analysis" sheetId="8" r:id="rId11"/>
  </sheets>
  <definedNames/>
  <calcPr/>
  <extLst>
    <ext uri="GoogleSheetsCustomDataVersion2">
      <go:sheetsCustomData xmlns:go="http://customooxmlschemas.google.com/" r:id="rId12" roundtripDataChecksum="6S+DRhfrfRi7R+7qTg6NilYMJT69LDOlGo3wDN8rlh0="/>
    </ext>
  </extLst>
</workbook>
</file>

<file path=xl/sharedStrings.xml><?xml version="1.0" encoding="utf-8"?>
<sst xmlns="http://schemas.openxmlformats.org/spreadsheetml/2006/main" count="1161" uniqueCount="424">
  <si>
    <t>In the book of Journal Entries of Bright Traders for the month ended 31st March 2026</t>
  </si>
  <si>
    <t>The following are the balances extracted from the books of M/s Bright Traders as on 1 March 2026 and the transactions entered during the month of March 2026.</t>
  </si>
  <si>
    <t>Date</t>
  </si>
  <si>
    <t>Particulars</t>
  </si>
  <si>
    <t>L.F</t>
  </si>
  <si>
    <t>Debit ₹</t>
  </si>
  <si>
    <t>From the following information, prepare:</t>
  </si>
  <si>
    <t>Credit ₹</t>
  </si>
  <si>
    <t>01.03.2026</t>
  </si>
  <si>
    <t>1. Journal Entries</t>
  </si>
  <si>
    <t>Cash A/c</t>
  </si>
  <si>
    <t>Dr</t>
  </si>
  <si>
    <t>2. Ledger Accounts</t>
  </si>
  <si>
    <t>3. Trial Balance</t>
  </si>
  <si>
    <t>4. Trading Account</t>
  </si>
  <si>
    <t>Bank A/c</t>
  </si>
  <si>
    <t>5. Profit &amp; Loss Account</t>
  </si>
  <si>
    <t>1,20,000</t>
  </si>
  <si>
    <t>6. Balance Sheet as on 31st March 2026</t>
  </si>
  <si>
    <t>Opening stock A/c</t>
  </si>
  <si>
    <t>Furniture A/c</t>
  </si>
  <si>
    <t>Machinery A/c</t>
  </si>
  <si>
    <t>Opening Balances as on 1st March 2026</t>
  </si>
  <si>
    <t>2,00,000</t>
  </si>
  <si>
    <t>Computer A/c</t>
  </si>
  <si>
    <t>Amount (₹)</t>
  </si>
  <si>
    <t>Manoj Stores A/c</t>
  </si>
  <si>
    <t>Deepa Stores A/c</t>
  </si>
  <si>
    <t>In the book of ledger of Bright Traders for the month ended 31st March 2026</t>
  </si>
  <si>
    <t>Cash in Hand</t>
  </si>
  <si>
    <t>To Capital A/c</t>
  </si>
  <si>
    <t>4,50,000</t>
  </si>
  <si>
    <t>To Bank loan A/c</t>
  </si>
  <si>
    <t>1,00,000</t>
  </si>
  <si>
    <t>To Ravi Traders A/c</t>
  </si>
  <si>
    <t>To Siva Suppliers A/c</t>
  </si>
  <si>
    <t>(Being opening assets and liabilities brought into the books)</t>
  </si>
  <si>
    <t>Cash at Bank</t>
  </si>
  <si>
    <t>Opening Stock</t>
  </si>
  <si>
    <t>02.03.2026</t>
  </si>
  <si>
    <t>Purchase A/c</t>
  </si>
  <si>
    <t>1,10,000</t>
  </si>
  <si>
    <t>Furniture</t>
  </si>
  <si>
    <t>To Ravi Traders</t>
  </si>
  <si>
    <t>Capital A/c</t>
  </si>
  <si>
    <t>(Being goods purchased from Ravi Traders on credit)</t>
  </si>
  <si>
    <t>Machinery</t>
  </si>
  <si>
    <t>03.03.2026</t>
  </si>
  <si>
    <t>Computer</t>
  </si>
  <si>
    <t>To Cash A/c</t>
  </si>
  <si>
    <t>Cr</t>
  </si>
  <si>
    <t>Debtors – Manoj Stores</t>
  </si>
  <si>
    <t>(Being goods purchased for cash)</t>
  </si>
  <si>
    <t>Debtors – Deepa Stores</t>
  </si>
  <si>
    <t xml:space="preserve">Date </t>
  </si>
  <si>
    <t>04.03.2026</t>
  </si>
  <si>
    <t>1,60,000</t>
  </si>
  <si>
    <t>Creditors – Ravi Traders</t>
  </si>
  <si>
    <t>To Sales A/c</t>
  </si>
  <si>
    <t>(Being goods sold to Manoj Stores on credit)</t>
  </si>
  <si>
    <t>Creditors – Siva Suppliers</t>
  </si>
  <si>
    <t>05.03.2026</t>
  </si>
  <si>
    <t>J.F</t>
  </si>
  <si>
    <t>Capital</t>
  </si>
  <si>
    <t>Amount ₹</t>
  </si>
  <si>
    <t>(Being goods sold for cash)</t>
  </si>
  <si>
    <t>Bank Loan</t>
  </si>
  <si>
    <t>06.03.2026</t>
  </si>
  <si>
    <t>Carriage Inward A/c</t>
  </si>
  <si>
    <t xml:space="preserve">To Cash A/c </t>
  </si>
  <si>
    <t>(Being carriage inward paid)</t>
  </si>
  <si>
    <t>07.03.2026</t>
  </si>
  <si>
    <t>Wages A/c</t>
  </si>
  <si>
    <t>By Cash A/c</t>
  </si>
  <si>
    <t>(Being wages paid)</t>
  </si>
  <si>
    <t>08.03.2026</t>
  </si>
  <si>
    <t>Ravi Traders A/c</t>
  </si>
  <si>
    <t>To Purchase Return A/c</t>
  </si>
  <si>
    <t xml:space="preserve"> Trial balance for the month ended 31st March 2026</t>
  </si>
  <si>
    <t>By Bank A/c</t>
  </si>
  <si>
    <t>(Being goods returned to Ravi Traders)</t>
  </si>
  <si>
    <t>09.03.2026</t>
  </si>
  <si>
    <t>Sales Return A/c</t>
  </si>
  <si>
    <t>By Opening stock A/c</t>
  </si>
  <si>
    <t>Transactions for March 2026</t>
  </si>
  <si>
    <t>To Manoj Stores A/c</t>
  </si>
  <si>
    <t>(Being goods returned by Manoj Stores)</t>
  </si>
  <si>
    <t>31.03.2026</t>
  </si>
  <si>
    <t>Transactions</t>
  </si>
  <si>
    <t>To Balance c/d</t>
  </si>
  <si>
    <t>10.03.2026</t>
  </si>
  <si>
    <t>Office equipment A/c</t>
  </si>
  <si>
    <t>By Furniture A/c</t>
  </si>
  <si>
    <t>Monday, March 02, 2026</t>
  </si>
  <si>
    <t>To Bank A/c</t>
  </si>
  <si>
    <t>By Machinery A/c</t>
  </si>
  <si>
    <t>(Being office equipment purchased by cheque)</t>
  </si>
  <si>
    <t>Purchased goods from Ravi Traders on credit ₹1,10,000</t>
  </si>
  <si>
    <t>By Computer A/c</t>
  </si>
  <si>
    <t>Tuesday, March 03, 2026</t>
  </si>
  <si>
    <t>Purchased goods for cash ₹35,000</t>
  </si>
  <si>
    <t>By Manoj Stores A/c</t>
  </si>
  <si>
    <t>S.No</t>
  </si>
  <si>
    <t>11.03.2026</t>
  </si>
  <si>
    <t>Salary A/c</t>
  </si>
  <si>
    <t>By Deepa Stores A/c</t>
  </si>
  <si>
    <t>(Being salary paid)</t>
  </si>
  <si>
    <t>Wednesday, March 04, 2026</t>
  </si>
  <si>
    <t>12.03.2026</t>
  </si>
  <si>
    <t>Sold goods to Manoj Stores on credit ₹1,60,000</t>
  </si>
  <si>
    <t>2,10,000</t>
  </si>
  <si>
    <t>Discount allowed A/c</t>
  </si>
  <si>
    <t>Thursday, March 05, 2026</t>
  </si>
  <si>
    <t>Sold goods for cash ₹75,000</t>
  </si>
  <si>
    <t>01.04.2026</t>
  </si>
  <si>
    <t>By Balance b/d</t>
  </si>
  <si>
    <t>2,16,000</t>
  </si>
  <si>
    <t>(Being amount received from Manoj Stores and discount allowed)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</si>
  <si>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</si>
  <si>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</si>
  <si>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</si>
  <si>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</si>
  <si>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</si>
  <si>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</si>
  <si>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13.03.2026</t>
  </si>
  <si>
    <t>Monday, March 09, 2026</t>
  </si>
  <si>
    <t>Manoj Stores returned goods worth ₹10,000</t>
  </si>
  <si>
    <t>1,57,000</t>
  </si>
  <si>
    <t>Purchases A/c</t>
  </si>
  <si>
    <t>Tuesday, March 10, 2026</t>
  </si>
  <si>
    <t>1,50,000</t>
  </si>
  <si>
    <t>Purchased office equipment by cheque ₹50,000</t>
  </si>
  <si>
    <t>To Discount Received A/c</t>
  </si>
  <si>
    <t>Sales A/c</t>
  </si>
  <si>
    <t>(Being payment made to Ravi Traders by cheque and discount received)</t>
  </si>
  <si>
    <t>Wednesday, March 11, 2026</t>
  </si>
  <si>
    <t>Carriage Inwards A/c</t>
  </si>
  <si>
    <t>Paid salary ₹22,000</t>
  </si>
  <si>
    <t>14.03.2026</t>
  </si>
  <si>
    <t>Purchase Return A/c</t>
  </si>
  <si>
    <t>Thursday, March 12, 2026</t>
  </si>
  <si>
    <t>Office Rent A/c</t>
  </si>
  <si>
    <t>To Balance b/d</t>
  </si>
  <si>
    <t>Office Equipments A/c</t>
  </si>
  <si>
    <t>By Purchase A/c</t>
  </si>
  <si>
    <t>Received ₹2,10,000 from Manoj Stores and allowed discount ₹6,000</t>
  </si>
  <si>
    <t>(Being office rent paid)</t>
  </si>
  <si>
    <t>Friday, March 13, 2026</t>
  </si>
  <si>
    <t>15.03.2026</t>
  </si>
  <si>
    <t>Paid Ravi Traders ₹1,50,000 by cheque and received discount ₹7,000</t>
  </si>
  <si>
    <t>Discount Allowed A/c</t>
  </si>
  <si>
    <t>By Carriage Inward A/c</t>
  </si>
  <si>
    <t>Discount Received A/c</t>
  </si>
  <si>
    <t>Saturday, March 14, 2026</t>
  </si>
  <si>
    <t>Rent A/c</t>
  </si>
  <si>
    <t>Paid office rent ₹18,000</t>
  </si>
  <si>
    <t>(Being goods purchased on credit from Siva Suppliers)</t>
  </si>
  <si>
    <t>Siva Suppliers A/c</t>
  </si>
  <si>
    <t>16.03.2026</t>
  </si>
  <si>
    <t>By Wages A/c</t>
  </si>
  <si>
    <t>Sunday, March 15, 2026</t>
  </si>
  <si>
    <t>19.03.2026</t>
  </si>
  <si>
    <t>Purchased goods on credit from Siva Suppliers ₹85,000</t>
  </si>
  <si>
    <t>To Commission Received A/c</t>
  </si>
  <si>
    <t>Monday, March 16, 2026</t>
  </si>
  <si>
    <t>(Being goods sold on credit to Deepa Stores)</t>
  </si>
  <si>
    <t>Sold goods on credit to Deepa Stores ₹1,20,000</t>
  </si>
  <si>
    <t>17.03.2026</t>
  </si>
  <si>
    <t>Electricity Charges A/c</t>
  </si>
  <si>
    <t>Tuesday, March 17, 2026</t>
  </si>
  <si>
    <t>Received ₹1,10,000 from Deepa Stores through bank</t>
  </si>
  <si>
    <t>Commission Received A/c</t>
  </si>
  <si>
    <t xml:space="preserve">By Salary A/c </t>
  </si>
  <si>
    <t>To Deepa Stores A/c</t>
  </si>
  <si>
    <t>Wednesday, March 18, 2026</t>
  </si>
  <si>
    <t>Paid electricity charges ₹5,500</t>
  </si>
  <si>
    <t>20.03.2026</t>
  </si>
  <si>
    <t>Drawings A/c</t>
  </si>
  <si>
    <t>(Being amount received from Deepa Stores through bank)</t>
  </si>
  <si>
    <t>Insurance Premium A/c</t>
  </si>
  <si>
    <t>Thursday, March 19, 2026</t>
  </si>
  <si>
    <t>Received commission ₹9,000 in cash</t>
  </si>
  <si>
    <t>Carriage Outwards A/c</t>
  </si>
  <si>
    <t xml:space="preserve">By Rent A/c </t>
  </si>
  <si>
    <t>18.03.2026</t>
  </si>
  <si>
    <t>Interest Received A/c</t>
  </si>
  <si>
    <t>Friday, March 20, 2026</t>
  </si>
  <si>
    <t>Advertisement Expenses A/c</t>
  </si>
  <si>
    <t>By Electricity Charges A/c</t>
  </si>
  <si>
    <t>Withdrew cash from bank for office use ₹20,000</t>
  </si>
  <si>
    <t>21.03.2026</t>
  </si>
  <si>
    <t>(Being electricity charges paid)</t>
  </si>
  <si>
    <t>Saturday, March 21, 2026</t>
  </si>
  <si>
    <t xml:space="preserve">By Drawings A/c </t>
  </si>
  <si>
    <t>Drawings by proprietor in cash ₹12,000</t>
  </si>
  <si>
    <t>23.03.2026</t>
  </si>
  <si>
    <t>By Carriage Outward A/c</t>
  </si>
  <si>
    <t>(Being commission received in cash)</t>
  </si>
  <si>
    <t>25.03.2026</t>
  </si>
  <si>
    <t>Sunday, March 22, 2026</t>
  </si>
  <si>
    <t>Miscellaneous Expenses A/c</t>
  </si>
  <si>
    <t>Paid insurance premium by cheque ₹6,000</t>
  </si>
  <si>
    <t>26.03.2026</t>
  </si>
  <si>
    <t>By Advertisement A/c</t>
  </si>
  <si>
    <t>Monday, March 23, 2026</t>
  </si>
  <si>
    <t>27.03.2026</t>
  </si>
  <si>
    <t>Paid carriage outward ₹4,000</t>
  </si>
  <si>
    <t>By Miscellaneous A/c</t>
  </si>
  <si>
    <t>(Being cash withdrawn from bank for office use)</t>
  </si>
  <si>
    <t>28.03.2026</t>
  </si>
  <si>
    <t>Tuesday, March 24, 2026</t>
  </si>
  <si>
    <t>Received interest from bank ₹3,000</t>
  </si>
  <si>
    <t>30.03.2026</t>
  </si>
  <si>
    <t>Wednesday, March 25, 2026</t>
  </si>
  <si>
    <t>Purchased goods for cash ₹30,000</t>
  </si>
  <si>
    <t>(Being cash withdrawn by proprietor for personal use)</t>
  </si>
  <si>
    <t>By Balance c/d</t>
  </si>
  <si>
    <t>Thursday, March 26, 2026</t>
  </si>
  <si>
    <t>Paid advertisement expenses ₹8,500</t>
  </si>
  <si>
    <t>Bank Loan Interest A/c</t>
  </si>
  <si>
    <t>22.03.2026</t>
  </si>
  <si>
    <t>Friday, March 27, 2026</t>
  </si>
  <si>
    <t>Paid miscellaneous expenses ₹2,500</t>
  </si>
  <si>
    <t>Opening Stock A/c</t>
  </si>
  <si>
    <t>(Being insurance premium paid by cheque)</t>
  </si>
  <si>
    <t>Saturday, March 28, 2026</t>
  </si>
  <si>
    <t>Bank Loan A/c</t>
  </si>
  <si>
    <t>Purchased furniture for cash ₹25,000</t>
  </si>
  <si>
    <t>Bank  A/c</t>
  </si>
  <si>
    <t>Carriage Outward A/c</t>
  </si>
  <si>
    <t>Sunday, March 29, 2026</t>
  </si>
  <si>
    <t>Total</t>
  </si>
  <si>
    <t>Paid bank loan interest ₹5,000</t>
  </si>
  <si>
    <t>(Being carriage outward paid)</t>
  </si>
  <si>
    <t>Monday, March 30, 2026</t>
  </si>
  <si>
    <t>Deposited additional cash into bank ₹40,000</t>
  </si>
  <si>
    <t>24.03.2026</t>
  </si>
  <si>
    <t>To Interest Received A/c</t>
  </si>
  <si>
    <t>By Office Equipment A/c</t>
  </si>
  <si>
    <t>Additional Information</t>
  </si>
  <si>
    <t>(Being interest received from bank)</t>
  </si>
  <si>
    <t>By Ravi Traders A/c</t>
  </si>
  <si>
    <t>1. Closing stock on 31st March 2026 was valued at ₹1,10,000.</t>
  </si>
  <si>
    <t>2. Depreciate machinery @ 10% p.a.</t>
  </si>
  <si>
    <t>3. Depreciate furniture @ 5% p.a.</t>
  </si>
  <si>
    <t>By Insurance Premium A/c</t>
  </si>
  <si>
    <t>4. Depreciate computer @ 10% p.a.</t>
  </si>
  <si>
    <t>29.03.2026</t>
  </si>
  <si>
    <t>By Bank Loan Interest A/c</t>
  </si>
  <si>
    <t>5. Depreciate office equipment @ 10% p.a.</t>
  </si>
  <si>
    <t>(Being advertisement expenses paid)</t>
  </si>
  <si>
    <t>6. Outstanding salary ₹3,000.</t>
  </si>
  <si>
    <t>7. Prepaid insurance ₹1,500.</t>
  </si>
  <si>
    <t>(Being miscellaneous expenses paid)</t>
  </si>
  <si>
    <t>8. Interest on bank loan accrued but not paid ₹2,000.</t>
  </si>
  <si>
    <t>Opening Stock  A/c</t>
  </si>
  <si>
    <t>(Being furniture purchased for cash)</t>
  </si>
  <si>
    <t>Interest on Loan A/c</t>
  </si>
  <si>
    <t>(Being bank loan interest paid)</t>
  </si>
  <si>
    <t>(Being additional cash deposited into bank)</t>
  </si>
  <si>
    <t>By Sales Return A/c</t>
  </si>
  <si>
    <t xml:space="preserve">By Cash A/c </t>
  </si>
  <si>
    <t xml:space="preserve">By Discount allowed A/c </t>
  </si>
  <si>
    <t xml:space="preserve">To Purchase Return A/c </t>
  </si>
  <si>
    <t xml:space="preserve">To Balance c/d </t>
  </si>
  <si>
    <t>By  Balance b/d</t>
  </si>
  <si>
    <t>01.04.20026</t>
  </si>
  <si>
    <t>Trading Account for the Month Ended 31st March 2026</t>
  </si>
  <si>
    <t>Profit &amp; Loss Account for the Month Ended 31st March 2026</t>
  </si>
  <si>
    <t>Purchase Return  A/c</t>
  </si>
  <si>
    <t>Dr.</t>
  </si>
  <si>
    <t>Cr.</t>
  </si>
  <si>
    <t>To Salary A/C</t>
  </si>
  <si>
    <t>To Opening Stock</t>
  </si>
  <si>
    <t>By Gross Profit b/d</t>
  </si>
  <si>
    <t>By Sales</t>
  </si>
  <si>
    <t>Office Equipment A/c</t>
  </si>
  <si>
    <t>Balance Sheet as on 31st March 2026</t>
  </si>
  <si>
    <r>
      <rPr>
        <rFont val="Calibri"/>
        <b/>
        <color theme="1"/>
        <sz val="11.0"/>
      </rPr>
      <t>Add :</t>
    </r>
    <r>
      <rPr>
        <rFont val="Calibri"/>
        <color theme="1"/>
        <sz val="11.0"/>
      </rPr>
      <t xml:space="preserve"> Outstanding Salary</t>
    </r>
  </si>
  <si>
    <t>To Purchases A/C</t>
  </si>
  <si>
    <t xml:space="preserve">By Balance c/d </t>
  </si>
  <si>
    <t>By Discount Received A/C</t>
  </si>
  <si>
    <r>
      <rPr>
        <rFont val="Calibri"/>
        <b/>
        <color theme="1"/>
        <sz val="11.0"/>
      </rPr>
      <t>Less :</t>
    </r>
    <r>
      <rPr>
        <rFont val="Calibri"/>
        <color theme="1"/>
        <sz val="11.0"/>
      </rPr>
      <t xml:space="preserve"> Sales Return</t>
    </r>
  </si>
  <si>
    <t>To Discount Allowed A/C</t>
  </si>
  <si>
    <t>By Commission Received A/C</t>
  </si>
  <si>
    <r>
      <rPr>
        <rFont val="Calibri"/>
        <b/>
        <color theme="1"/>
        <sz val="11.0"/>
      </rPr>
      <t>Less :</t>
    </r>
    <r>
      <rPr>
        <rFont val="Calibri"/>
        <color theme="1"/>
        <sz val="11.0"/>
      </rPr>
      <t xml:space="preserve"> Purchase Return</t>
    </r>
  </si>
  <si>
    <t>By Closing Stock</t>
  </si>
  <si>
    <t>To Rent A/C</t>
  </si>
  <si>
    <t>By Interest Received A/C</t>
  </si>
  <si>
    <t>To Electricity Charges A/C</t>
  </si>
  <si>
    <t>Direct Expenses :</t>
  </si>
  <si>
    <t>To Insurance Premium A/C</t>
  </si>
  <si>
    <t>To Wages A/C</t>
  </si>
  <si>
    <t>Liabilities</t>
  </si>
  <si>
    <r>
      <rPr>
        <rFont val="Calibri"/>
        <b/>
        <color theme="1"/>
        <sz val="11.0"/>
      </rPr>
      <t xml:space="preserve">Less : </t>
    </r>
    <r>
      <rPr>
        <rFont val="Calibri"/>
        <color theme="1"/>
        <sz val="11.0"/>
      </rPr>
      <t>Prepaid Insurance</t>
    </r>
  </si>
  <si>
    <t>To Carriage Inwards A/C</t>
  </si>
  <si>
    <t>Assets</t>
  </si>
  <si>
    <t>To Carriage Outwards A/C</t>
  </si>
  <si>
    <t>To Gross Profit c/d</t>
  </si>
  <si>
    <t>To Advertisement Expenses A/C</t>
  </si>
  <si>
    <t>Current Assets :</t>
  </si>
  <si>
    <t>To Miscellaneous Expenses A/C</t>
  </si>
  <si>
    <t>To Bank Loan Interest A/C</t>
  </si>
  <si>
    <r>
      <rPr>
        <rFont val="Calibri"/>
        <b/>
        <color theme="1"/>
        <sz val="11.0"/>
      </rPr>
      <t xml:space="preserve">Add : </t>
    </r>
    <r>
      <rPr>
        <rFont val="Calibri"/>
        <color theme="1"/>
        <sz val="11.0"/>
      </rPr>
      <t>Net Profit</t>
    </r>
  </si>
  <si>
    <r>
      <rPr>
        <rFont val="Calibri"/>
        <b/>
        <color theme="1"/>
        <sz val="11.0"/>
      </rPr>
      <t>Add :</t>
    </r>
    <r>
      <rPr>
        <rFont val="Calibri"/>
        <color theme="1"/>
        <sz val="11.0"/>
      </rPr>
      <t xml:space="preserve"> Accrued Interest on Bank Loan</t>
    </r>
  </si>
  <si>
    <t xml:space="preserve">Cash in Hand </t>
  </si>
  <si>
    <t>To Depreciation on Machinery</t>
  </si>
  <si>
    <t>To Depreciation on Furniture</t>
  </si>
  <si>
    <t>To Depreciation on Office Equipments</t>
  </si>
  <si>
    <r>
      <rPr>
        <rFont val="Calibri"/>
        <b/>
        <color theme="1"/>
        <sz val="11.0"/>
      </rPr>
      <t>Less :</t>
    </r>
    <r>
      <rPr>
        <rFont val="Calibri"/>
        <color theme="1"/>
        <sz val="11.0"/>
      </rPr>
      <t xml:space="preserve"> Drawings</t>
    </r>
  </si>
  <si>
    <t>To Depreciation on Computer</t>
  </si>
  <si>
    <t>Electricity Charge A/c</t>
  </si>
  <si>
    <t xml:space="preserve">To Net Profit </t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</si>
  <si>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</si>
  <si>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</si>
  <si>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</si>
  <si>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</si>
  <si>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</si>
  <si>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</si>
  <si>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</si>
  <si>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</si>
  <si>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</si>
  <si>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</si>
  <si>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r>
      <rPr>
        <rFont val="Calibri"/>
        <b/>
        <color theme="1"/>
        <sz val="11.0"/>
      </rPr>
      <t xml:space="preserve">Less : </t>
    </r>
    <r>
      <rPr>
        <rFont val="Calibri"/>
        <color theme="1"/>
        <sz val="11.0"/>
      </rPr>
      <t>Depreciation</t>
    </r>
  </si>
  <si>
    <t>Drawing A/c</t>
  </si>
  <si>
    <t>Accrued Interest on Bank Loan</t>
  </si>
  <si>
    <r>
      <rPr>
        <rFont val="Calibri"/>
        <b/>
        <color theme="1"/>
        <sz val="11.0"/>
      </rPr>
      <t xml:space="preserve">Less : </t>
    </r>
    <r>
      <rPr>
        <rFont val="Calibri"/>
        <color theme="1"/>
        <sz val="11.0"/>
      </rPr>
      <t>Depreciation</t>
    </r>
  </si>
  <si>
    <t xml:space="preserve">To Bank A/c </t>
  </si>
  <si>
    <r>
      <rPr>
        <rFont val="Calibri"/>
        <b/>
        <color theme="1"/>
        <sz val="11.0"/>
      </rPr>
      <t xml:space="preserve">Less : </t>
    </r>
    <r>
      <rPr>
        <rFont val="Calibri"/>
        <color theme="1"/>
        <sz val="11.0"/>
      </rPr>
      <t>Depreciation</t>
    </r>
  </si>
  <si>
    <t>Office Equipments</t>
  </si>
  <si>
    <r>
      <rPr>
        <rFont val="Calibri"/>
        <b/>
        <color theme="1"/>
        <sz val="11.0"/>
      </rPr>
      <t xml:space="preserve">Less : </t>
    </r>
    <r>
      <rPr>
        <rFont val="Calibri"/>
        <color theme="1"/>
        <sz val="11.0"/>
      </rPr>
      <t>Depreciation</t>
    </r>
  </si>
  <si>
    <t>Advertisement A/c</t>
  </si>
  <si>
    <t xml:space="preserve">Miscellaneous A/c </t>
  </si>
  <si>
    <t xml:space="preserve">Bank Loan Interest  A/c </t>
  </si>
  <si>
    <t>Ratio Analysis</t>
  </si>
  <si>
    <t>Interpretation of results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</si>
  <si>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</si>
  <si>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</si>
  <si>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</si>
  <si>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</si>
  <si>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</si>
  <si>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Cash + Bank + Closing Stock + debtors + Prepaid Insurance</t>
  </si>
  <si>
    <t>The firm has ₹ 2.3 of current assets for every ₹1 of Current Liabilities.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</si>
  <si>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</si>
  <si>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</si>
  <si>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</si>
  <si>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</si>
  <si>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3,49,500 / 1,51,000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</si>
  <si>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</si>
  <si>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</si>
  <si>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</si>
  <si>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</si>
  <si>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</si>
  <si>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Current Assets - Inventory - Prepaid Expenses</t>
  </si>
  <si>
    <t>The firm has ₹ 1.6 of Liquid assets for every ₹ 1 of Current Liabilities.</t>
  </si>
  <si>
    <t>This indicates that the firm can comfortably meet its immediate liabilities.</t>
  </si>
  <si>
    <t>Quick Ratio</t>
  </si>
  <si>
    <t>2,38,000 / 1,51,000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</si>
  <si>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</si>
  <si>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</si>
  <si>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</si>
  <si>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</si>
  <si>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1.2 of cash and cash equivalents for every ₹1 of current liabilities.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</si>
  <si>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</si>
  <si>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</si>
  <si>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</si>
  <si>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</si>
  <si>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</si>
  <si>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1,79,000 / 1,51,000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</si>
  <si>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</si>
  <si>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</si>
  <si>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</si>
  <si>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</si>
  <si>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Current Liabilities + Non - Current Liabilities</t>
  </si>
  <si>
    <t>The firm has ₹ 0.53 of debt for every ₹ 1 of shareholders equity.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</si>
  <si>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</si>
  <si>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</si>
  <si>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</si>
  <si>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</si>
  <si>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2,51,000 / 4,70,729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</si>
  <si>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</si>
  <si>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</si>
  <si>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</si>
  <si>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</si>
  <si>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0.35 of debt for every ₹ 1 invested in total assets.</t>
  </si>
  <si>
    <t>The firm finances 35%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</si>
  <si>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</si>
  <si>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</si>
  <si>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</si>
  <si>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</si>
  <si>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2,51,000 / 7,21,729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</si>
  <si>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</si>
  <si>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</si>
  <si>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</si>
  <si>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</si>
  <si>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</si>
  <si>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Sales - Sales Return</t>
  </si>
  <si>
    <t>The firm generates only ₹ 0.48 of net sales for every ₹ 1 invested in total assets.</t>
  </si>
  <si>
    <t>This indicates the business generates sales equal to 48% of its total assets.</t>
  </si>
  <si>
    <t>Assets Turnover Ratio</t>
  </si>
  <si>
    <t>3,45,000 / 7,21,729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</si>
  <si>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</si>
  <si>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</si>
  <si>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</si>
  <si>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</si>
  <si>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1.74 of net sales for every ₹ 1 of working capital.</t>
  </si>
  <si>
    <t>Working Capital</t>
  </si>
  <si>
    <t>Current Assets - Current Liabilities</t>
  </si>
  <si>
    <t>This indicates the business generates sales equal to 174% of its working capital.</t>
  </si>
  <si>
    <t>Working Capital turnover Ratio</t>
  </si>
  <si>
    <t>3,45,000 / 1,98,500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</si>
  <si>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</si>
  <si>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</si>
  <si>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</si>
  <si>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</si>
  <si>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</si>
  <si>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Opening Stock + Purchases + Direct Expenses - Closing Stock</t>
  </si>
  <si>
    <t>The firm turns over its inventory ₹ 2.5 times during the Period. This indicates slow Inventory</t>
  </si>
  <si>
    <t>Average inventory</t>
  </si>
  <si>
    <t>Opening Stock + Closing Stock / 2</t>
  </si>
  <si>
    <t>This indicates that inventory is moving relatively slowly.</t>
  </si>
  <si>
    <t>Inventory Turnover Ratio</t>
  </si>
  <si>
    <t>2,47,500 / 1,00,000</t>
  </si>
  <si>
    <t>Slow inventory movement may increase storage costs and the risk of old stock.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</si>
</sst>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1"/>
      <name val="Quattrocento Sans"/>
    </font>
    <font>
      <sz val="11.0"/>
      <color theme="1"/>
      <name val="Quattrocento Sans"/>
    </font>
    <font>
      <i/>
      <sz val="12.0"/>
      <color theme="1"/>
      <name val="Calibri"/>
    </font>
    <font>
      <b/>
      <sz val="14.0"/>
      <color theme="1"/>
      <name val="Times New Roman"/>
    </font>
    <font/>
    <font>
      <sz val="14.0"/>
      <color theme="1"/>
      <name val="Times New Roman"/>
    </font>
    <font>
      <b/>
      <sz val="14.0"/>
      <color rgb="FF0C0C0C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0CECE"/>
        <bgColor rgb="FFD0CECE"/>
      </patternFill>
    </fill>
  </fills>
  <borders count="3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4" fillId="0" fontId="4" numFmtId="3" xfId="0" applyAlignment="1" applyBorder="1" applyFont="1" applyNumberFormat="1">
      <alignment horizontal="center"/>
    </xf>
    <xf borderId="5" fillId="0" fontId="4" numFmtId="0" xfId="0" applyBorder="1" applyFont="1"/>
    <xf borderId="5" fillId="0" fontId="4" numFmtId="0" xfId="0" applyAlignment="1" applyBorder="1" applyFont="1">
      <alignment horizontal="center"/>
    </xf>
    <xf borderId="5" fillId="0" fontId="4" numFmtId="3" xfId="0" applyAlignment="1" applyBorder="1" applyFont="1" applyNumberFormat="1">
      <alignment horizontal="center"/>
    </xf>
    <xf borderId="0" fillId="0" fontId="2" numFmtId="3" xfId="0" applyFont="1" applyNumberFormat="1"/>
    <xf borderId="5" fillId="0" fontId="4" numFmtId="3" xfId="0" applyBorder="1" applyFont="1" applyNumberForma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right"/>
    </xf>
    <xf borderId="6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5" fillId="0" fontId="4" numFmtId="0" xfId="0" applyAlignment="1" applyBorder="1" applyFont="1">
      <alignment vertical="center"/>
    </xf>
    <xf borderId="5" fillId="0" fontId="5" numFmtId="3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5" fillId="0" fontId="2" numFmtId="3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5" fillId="0" fontId="2" numFmtId="0" xfId="0" applyBorder="1" applyFont="1"/>
    <xf borderId="10" fillId="0" fontId="5" numFmtId="0" xfId="0" applyAlignment="1" applyBorder="1" applyFont="1">
      <alignment horizontal="center"/>
    </xf>
    <xf borderId="5" fillId="0" fontId="2" numFmtId="0" xfId="0" applyAlignment="1" applyBorder="1" applyFont="1">
      <alignment horizontal="center" vertical="center"/>
    </xf>
    <xf borderId="5" fillId="0" fontId="3" numFmtId="0" xfId="0" applyBorder="1" applyFont="1"/>
    <xf borderId="5" fillId="0" fontId="3" numFmtId="3" xfId="0" applyAlignment="1" applyBorder="1" applyFont="1" applyNumberFormat="1">
      <alignment horizontal="center"/>
    </xf>
    <xf borderId="0" fillId="0" fontId="3" numFmtId="3" xfId="0" applyFont="1" applyNumberFormat="1"/>
    <xf borderId="0" fillId="0" fontId="7" numFmtId="0" xfId="0" applyFont="1"/>
    <xf borderId="5" fillId="0" fontId="4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11" fillId="2" fontId="4" numFmtId="3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4" fillId="0" fontId="2" numFmtId="3" xfId="0" applyBorder="1" applyFont="1" applyNumberFormat="1"/>
    <xf borderId="12" fillId="0" fontId="2" numFmtId="3" xfId="0" applyBorder="1" applyFont="1" applyNumberFormat="1"/>
    <xf borderId="5" fillId="0" fontId="2" numFmtId="3" xfId="0" applyBorder="1" applyFont="1" applyNumberFormat="1"/>
    <xf borderId="4" fillId="0" fontId="3" numFmtId="0" xfId="0" applyBorder="1" applyFont="1"/>
    <xf borderId="5" fillId="0" fontId="3" numFmtId="3" xfId="0" applyBorder="1" applyFont="1" applyNumberFormat="1"/>
    <xf borderId="13" fillId="0" fontId="2" numFmtId="3" xfId="0" applyBorder="1" applyFont="1" applyNumberFormat="1"/>
    <xf borderId="0" fillId="0" fontId="5" numFmtId="0" xfId="0" applyAlignment="1" applyFont="1">
      <alignment horizontal="left"/>
    </xf>
    <xf borderId="12" fillId="0" fontId="2" numFmtId="0" xfId="0" applyBorder="1" applyFont="1"/>
    <xf borderId="14" fillId="3" fontId="9" numFmtId="0" xfId="0" applyAlignment="1" applyBorder="1" applyFill="1" applyFont="1">
      <alignment horizontal="center"/>
    </xf>
    <xf borderId="15" fillId="0" fontId="10" numFmtId="0" xfId="0" applyBorder="1" applyFont="1"/>
    <xf borderId="16" fillId="0" fontId="10" numFmtId="0" xfId="0" applyBorder="1" applyFont="1"/>
    <xf borderId="17" fillId="3" fontId="9" numFmtId="0" xfId="0" applyAlignment="1" applyBorder="1" applyFill="1" applyFont="1">
      <alignment horizontal="center" vertical="center"/>
    </xf>
    <xf borderId="0" fillId="0" fontId="11" numFmtId="0" xfId="0" applyFont="1"/>
    <xf borderId="18" fillId="3" fontId="12" numFmtId="0" xfId="0" applyAlignment="1" applyBorder="1" applyFill="1" applyFont="1">
      <alignment horizontal="center"/>
    </xf>
    <xf borderId="19" fillId="0" fontId="10" numFmtId="0" xfId="0" applyBorder="1" applyFont="1"/>
    <xf borderId="20" fillId="0" fontId="10" numFmtId="0" xfId="0" applyBorder="1" applyFont="1"/>
    <xf borderId="21" fillId="0" fontId="10" numFmtId="0" xfId="0" applyBorder="1" applyFont="1"/>
    <xf borderId="22" fillId="4" fontId="9" numFmtId="0" xfId="0" applyBorder="1" applyFill="1" applyFont="1"/>
    <xf borderId="14" fillId="4" fontId="9" numFmtId="0" xfId="0" applyAlignment="1" applyBorder="1" applyFill="1" applyFont="1">
      <alignment horizontal="left"/>
    </xf>
    <xf borderId="23" fillId="0" fontId="10" numFmtId="0" xfId="0" applyBorder="1" applyFont="1"/>
    <xf borderId="24" fillId="4" fontId="11" numFmtId="0" xfId="0" applyBorder="1" applyFill="1" applyFont="1"/>
    <xf borderId="25" fillId="4" fontId="11" numFmtId="0" xfId="0" applyBorder="1" applyFill="1" applyFont="1"/>
    <xf borderId="25" fillId="4" fontId="11" numFmtId="0" xfId="0" applyAlignment="1" applyBorder="1" applyFill="1" applyFont="1">
      <alignment horizontal="right"/>
    </xf>
    <xf borderId="25" fillId="4" fontId="11" numFmtId="0" xfId="0" applyAlignment="1" applyBorder="1" applyFill="1" applyFont="1">
      <alignment horizontal="center"/>
    </xf>
    <xf borderId="25" fillId="4" fontId="11" numFmtId="3" xfId="0" applyAlignment="1" applyBorder="1" applyFill="1" applyFont="1" applyNumberFormat="1">
      <alignment horizontal="right"/>
    </xf>
    <xf borderId="26" fillId="4" fontId="11" numFmtId="0" xfId="0" applyAlignment="1" applyBorder="1" applyFill="1" applyFont="1">
      <alignment horizontal="right"/>
    </xf>
    <xf borderId="26" fillId="4" fontId="11" numFmtId="0" xfId="0" applyAlignment="1" applyBorder="1" applyFill="1" applyFont="1">
      <alignment horizontal="center"/>
    </xf>
    <xf borderId="26" fillId="4" fontId="9" numFmtId="164" xfId="0" applyAlignment="1" applyBorder="1" applyFill="1" applyFont="1" applyNumberFormat="1">
      <alignment horizontal="right"/>
    </xf>
    <xf borderId="26" fillId="4" fontId="11" numFmtId="0" xfId="0" applyBorder="1" applyFill="1" applyFont="1"/>
    <xf borderId="14" fillId="4" fontId="9" numFmtId="0" xfId="0" applyAlignment="1" applyBorder="1" applyFill="1" applyFont="1">
      <alignment horizontal="left" vertical="center"/>
    </xf>
    <xf borderId="27" fillId="4" fontId="11" numFmtId="0" xfId="0" applyBorder="1" applyFill="1" applyFont="1"/>
    <xf borderId="27" fillId="4" fontId="11" numFmtId="0" xfId="0" applyAlignment="1" applyBorder="1" applyFill="1" applyFont="1">
      <alignment horizontal="center"/>
    </xf>
    <xf borderId="27" fillId="4" fontId="11" numFmtId="3" xfId="0" applyAlignment="1" applyBorder="1" applyFill="1" applyFont="1" applyNumberFormat="1">
      <alignment horizontal="right"/>
    </xf>
    <xf borderId="28" fillId="4" fontId="11" numFmtId="0" xfId="0" applyAlignment="1" applyBorder="1" applyFill="1" applyFont="1">
      <alignment horizontal="center"/>
    </xf>
    <xf borderId="28" fillId="4" fontId="9" numFmtId="164" xfId="0" applyAlignment="1" applyBorder="1" applyFill="1" applyFont="1" applyNumberFormat="1">
      <alignment horizontal="right"/>
    </xf>
    <xf borderId="22" fillId="4" fontId="11" numFmtId="0" xfId="0" applyBorder="1" applyFill="1" applyFont="1"/>
    <xf borderId="29" fillId="4" fontId="11" numFmtId="0" xfId="0" applyBorder="1" applyFill="1" applyFont="1"/>
    <xf borderId="25" fillId="4" fontId="11" numFmtId="0" xfId="0" applyAlignment="1" applyBorder="1" applyFill="1" applyFont="1">
      <alignment vertical="center"/>
    </xf>
    <xf borderId="29" fillId="4" fontId="11" numFmtId="0" xfId="0" applyAlignment="1" applyBorder="1" applyFill="1" applyFont="1">
      <alignment horizontal="center"/>
    </xf>
    <xf borderId="29" fillId="4" fontId="11" numFmtId="3" xfId="0" applyAlignment="1" applyBorder="1" applyFill="1" applyFont="1" applyNumberFormat="1">
      <alignment horizontal="right"/>
    </xf>
    <xf borderId="30" fillId="4" fontId="11" numFmtId="0" xfId="0" applyAlignment="1" applyBorder="1" applyFill="1" applyFont="1">
      <alignment horizontal="center"/>
    </xf>
    <xf borderId="30" fillId="4" fontId="9" numFmtId="164" xfId="0" applyAlignment="1" applyBorder="1" applyFill="1" applyFont="1" applyNumberFormat="1">
      <alignment horizontal="right"/>
    </xf>
    <xf borderId="25" fillId="4" fontId="9" numFmtId="0" xfId="0" applyBorder="1" applyFill="1" applyFont="1"/>
    <xf borderId="26" fillId="4" fontId="9" numFmtId="2" xfId="0" applyAlignment="1" applyBorder="1" applyFill="1" applyFont="1" applyNumberFormat="1">
      <alignment horizontal="right"/>
    </xf>
    <xf borderId="25" fillId="4" fontId="9" numFmtId="2" xfId="0" applyAlignment="1" applyBorder="1" applyFill="1" applyFont="1" applyNumberFormat="1">
      <alignment horizontal="right"/>
    </xf>
    <xf borderId="25" fillId="4" fontId="11" numFmtId="3" xfId="0" applyBorder="1" applyFill="1" applyFont="1" applyNumberFormat="1"/>
    <xf borderId="31" fillId="4" fontId="11" numFmtId="0" xfId="0" applyBorder="1" applyFill="1" applyFont="1"/>
    <xf borderId="26" fillId="4" fontId="9" numFmtId="164" xfId="0" applyBorder="1" applyFill="1" applyFont="1" applyNumberFormat="1"/>
    <xf borderId="28" fillId="4" fontId="1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1.29"/>
    <col customWidth="1" min="3" max="26" width="8.71"/>
  </cols>
  <sheetData>
    <row r="1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2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2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2" t="s">
        <v>12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2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2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>
      <c r="A10" s="2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>
      <c r="A12" s="2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>
      <c r="A13" s="2" t="s">
        <v>3</v>
      </c>
      <c r="B13" s="2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29</v>
      </c>
      <c r="B14" s="12">
        <v>45000.0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37</v>
      </c>
      <c r="B15" s="12">
        <v>120000.0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>
      <c r="A16" s="2" t="s">
        <v>38</v>
      </c>
      <c r="B16" s="12">
        <v>90000.0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42</v>
      </c>
      <c r="B17" s="12">
        <v>60000.0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46</v>
      </c>
      <c r="B18" s="12">
        <v>200000.0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>
      <c r="A19" s="2" t="s">
        <v>48</v>
      </c>
      <c r="B19" s="12">
        <v>40000.0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51</v>
      </c>
      <c r="B20" s="12">
        <v>70000.0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ht="15.75" customHeight="1">
      <c r="A21" s="2" t="s">
        <v>53</v>
      </c>
      <c r="B21" s="12">
        <v>45000.0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5.75" customHeight="1">
      <c r="A22" s="2" t="s">
        <v>57</v>
      </c>
      <c r="B22" s="12">
        <v>80000.0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15.75" customHeight="1">
      <c r="A23" s="2" t="s">
        <v>60</v>
      </c>
      <c r="B23" s="12">
        <v>40000.0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15.75" customHeight="1">
      <c r="A24" s="2" t="s">
        <v>63</v>
      </c>
      <c r="B24" s="12">
        <v>450000.0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15.75" customHeight="1">
      <c r="A25" s="2" t="s">
        <v>66</v>
      </c>
      <c r="B25" s="12">
        <v>100000.0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15.75" customHeight="1">
      <c r="A27" s="2" t="s">
        <v>84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ht="15.75" customHeight="1">
      <c r="A28" s="2" t="s">
        <v>2</v>
      </c>
      <c r="B28" s="2" t="s">
        <v>88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5.75" customHeight="1">
      <c r="A29" s="24" t="s">
        <v>93</v>
      </c>
      <c r="B29" s="2" t="s">
        <v>97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ht="15.75" customHeight="1">
      <c r="A30" s="24" t="s">
        <v>99</v>
      </c>
      <c r="B30" s="2" t="s">
        <v>100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ht="15.75" customHeight="1">
      <c r="A31" s="24" t="s">
        <v>107</v>
      </c>
      <c r="B31" s="2" t="s">
        <v>109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15.75" customHeight="1">
      <c r="A32" s="24" t="s">
        <v>112</v>
      </c>
      <c r="B32" s="2" t="s">
        <v>113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5.75" customHeight="1">
      <c r="A33" s="24" t="s">
        <v>118</v>
      </c>
      <c r="B33" s="2" t="s">
        <v>119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ht="15.75" customHeight="1">
      <c r="A34" s="24" t="s">
        <v>120</v>
      </c>
      <c r="B34" s="2" t="s">
        <v>121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ht="15.75" customHeight="1">
      <c r="A35" s="24" t="s">
        <v>122</v>
      </c>
      <c r="B35" s="2" t="s">
        <v>123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5.75" customHeight="1">
      <c r="A36" s="24" t="s">
        <v>125</v>
      </c>
      <c r="B36" s="2" t="s">
        <v>126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15.75" customHeight="1">
      <c r="A37" s="24" t="s">
        <v>129</v>
      </c>
      <c r="B37" s="2" t="s">
        <v>131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5.75" customHeight="1">
      <c r="A38" s="24" t="s">
        <v>135</v>
      </c>
      <c r="B38" s="2" t="s">
        <v>137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ht="15.75" customHeight="1">
      <c r="A39" s="24" t="s">
        <v>140</v>
      </c>
      <c r="B39" s="2" t="s">
        <v>145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15.75" customHeight="1">
      <c r="A40" s="24" t="s">
        <v>147</v>
      </c>
      <c r="B40" s="2" t="s">
        <v>149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5.75" customHeight="1">
      <c r="A41" s="24" t="s">
        <v>153</v>
      </c>
      <c r="B41" s="2" t="s">
        <v>155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15.75" customHeight="1">
      <c r="A42" s="24" t="s">
        <v>160</v>
      </c>
      <c r="B42" s="2" t="s">
        <v>162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ht="15.75" customHeight="1">
      <c r="A43" s="24" t="s">
        <v>164</v>
      </c>
      <c r="B43" s="2" t="s">
        <v>166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ht="15.75" customHeight="1">
      <c r="A44" s="24" t="s">
        <v>169</v>
      </c>
      <c r="B44" s="2" t="s">
        <v>170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ht="15.75" customHeight="1">
      <c r="A45" s="24" t="s">
        <v>174</v>
      </c>
      <c r="B45" s="2" t="s">
        <v>175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5.75" customHeight="1">
      <c r="A46" s="24" t="s">
        <v>180</v>
      </c>
      <c r="B46" s="2" t="s">
        <v>181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ht="15.75" customHeight="1">
      <c r="A47" s="24" t="s">
        <v>186</v>
      </c>
      <c r="B47" s="2" t="s">
        <v>189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ht="15.75" customHeight="1">
      <c r="A48" s="24" t="s">
        <v>192</v>
      </c>
      <c r="B48" s="2" t="s">
        <v>194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15.75" customHeight="1">
      <c r="A49" s="24" t="s">
        <v>199</v>
      </c>
      <c r="B49" s="2" t="s">
        <v>201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ht="15.75" customHeight="1">
      <c r="A50" s="24" t="s">
        <v>204</v>
      </c>
      <c r="B50" s="2" t="s">
        <v>206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ht="15.75" customHeight="1">
      <c r="A51" s="24" t="s">
        <v>210</v>
      </c>
      <c r="B51" s="2" t="s">
        <v>211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ht="15.75" customHeight="1">
      <c r="A52" s="24" t="s">
        <v>213</v>
      </c>
      <c r="B52" s="2" t="s">
        <v>214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ht="15.75" customHeight="1">
      <c r="A53" s="24" t="s">
        <v>217</v>
      </c>
      <c r="B53" s="2" t="s">
        <v>218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ht="15.75" customHeight="1">
      <c r="A54" s="24" t="s">
        <v>221</v>
      </c>
      <c r="B54" s="2" t="s">
        <v>222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ht="15.75" customHeight="1">
      <c r="A55" s="24" t="s">
        <v>225</v>
      </c>
      <c r="B55" s="2" t="s">
        <v>227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ht="15.75" customHeight="1">
      <c r="A56" s="24" t="s">
        <v>230</v>
      </c>
      <c r="B56" s="2" t="s">
        <v>232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ht="15.75" customHeight="1">
      <c r="A57" s="24" t="s">
        <v>234</v>
      </c>
      <c r="B57" s="2" t="s">
        <v>235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ht="15.75" customHeight="1">
      <c r="A59" s="2" t="s">
        <v>239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ht="15.75" customHeight="1">
      <c r="A60" s="2" t="s">
        <v>242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15.75" customHeight="1">
      <c r="A61" s="2" t="s">
        <v>243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15.75" customHeight="1">
      <c r="A62" s="2" t="s">
        <v>244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5.75" customHeight="1">
      <c r="A63" s="2" t="s">
        <v>246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ht="15.75" customHeight="1">
      <c r="A64" s="2" t="s">
        <v>249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ht="15.75" customHeight="1">
      <c r="A65" s="2" t="s">
        <v>251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ht="15.75" customHeight="1">
      <c r="A66" s="2" t="s">
        <v>252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ht="15.75" customHeight="1">
      <c r="A67" s="2" t="s">
        <v>254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ht="15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68.86"/>
    <col customWidth="1" min="3" max="4" width="8.71"/>
    <col customWidth="1" min="5" max="5" width="13.14"/>
    <col customWidth="1" min="6" max="6" width="14.0"/>
    <col customWidth="1" min="7" max="26" width="8.71"/>
  </cols>
  <sheetData>
    <row r="1">
      <c r="A1" s="1" t="s">
        <v>0</v>
      </c>
    </row>
    <row r="3">
      <c r="A3" s="3" t="s">
        <v>2</v>
      </c>
      <c r="B3" s="4" t="s">
        <v>3</v>
      </c>
      <c r="C3" s="4"/>
      <c r="D3" s="4" t="s">
        <v>4</v>
      </c>
      <c r="E3" s="4" t="s">
        <v>5</v>
      </c>
      <c r="F3" s="5" t="s">
        <v>7</v>
      </c>
    </row>
    <row r="4">
      <c r="A4" s="6" t="s">
        <v>8</v>
      </c>
      <c r="B4" s="6" t="s">
        <v>10</v>
      </c>
      <c r="C4" s="7" t="s">
        <v>11</v>
      </c>
      <c r="D4" s="6"/>
      <c r="E4" s="8">
        <v>45000.0</v>
      </c>
      <c r="F4" s="6"/>
    </row>
    <row r="5">
      <c r="A5" s="9" t="s">
        <v>8</v>
      </c>
      <c r="B5" s="9" t="s">
        <v>15</v>
      </c>
      <c r="C5" s="10" t="s">
        <v>11</v>
      </c>
      <c r="D5" s="9"/>
      <c r="E5" s="11" t="s">
        <v>17</v>
      </c>
      <c r="F5" s="9"/>
    </row>
    <row r="6">
      <c r="A6" s="9" t="s">
        <v>8</v>
      </c>
      <c r="B6" s="9" t="s">
        <v>19</v>
      </c>
      <c r="C6" s="10" t="s">
        <v>11</v>
      </c>
      <c r="D6" s="9"/>
      <c r="E6" s="11">
        <v>90000.0</v>
      </c>
      <c r="F6" s="9"/>
    </row>
    <row r="7">
      <c r="A7" s="9" t="s">
        <v>8</v>
      </c>
      <c r="B7" s="9" t="s">
        <v>20</v>
      </c>
      <c r="C7" s="10" t="s">
        <v>11</v>
      </c>
      <c r="D7" s="9"/>
      <c r="E7" s="11">
        <v>60000.0</v>
      </c>
      <c r="F7" s="9"/>
    </row>
    <row r="8">
      <c r="A8" s="9" t="s">
        <v>8</v>
      </c>
      <c r="B8" s="9" t="s">
        <v>21</v>
      </c>
      <c r="C8" s="10" t="s">
        <v>11</v>
      </c>
      <c r="D8" s="9"/>
      <c r="E8" s="11" t="s">
        <v>23</v>
      </c>
      <c r="F8" s="9"/>
    </row>
    <row r="9">
      <c r="A9" s="9" t="s">
        <v>8</v>
      </c>
      <c r="B9" s="9" t="s">
        <v>24</v>
      </c>
      <c r="C9" s="10" t="s">
        <v>11</v>
      </c>
      <c r="D9" s="9"/>
      <c r="E9" s="11">
        <v>40000.0</v>
      </c>
      <c r="F9" s="9"/>
    </row>
    <row r="10">
      <c r="A10" s="9" t="s">
        <v>8</v>
      </c>
      <c r="B10" s="9" t="s">
        <v>26</v>
      </c>
      <c r="C10" s="10" t="s">
        <v>11</v>
      </c>
      <c r="D10" s="9"/>
      <c r="E10" s="11">
        <v>70000.0</v>
      </c>
      <c r="F10" s="9"/>
    </row>
    <row r="11">
      <c r="A11" s="9" t="s">
        <v>8</v>
      </c>
      <c r="B11" s="9" t="s">
        <v>27</v>
      </c>
      <c r="C11" s="10" t="s">
        <v>11</v>
      </c>
      <c r="D11" s="9"/>
      <c r="E11" s="11">
        <v>45000.0</v>
      </c>
      <c r="F11" s="9"/>
    </row>
    <row r="12">
      <c r="A12" s="9"/>
      <c r="B12" s="9" t="s">
        <v>30</v>
      </c>
      <c r="C12" s="10"/>
      <c r="D12" s="9"/>
      <c r="E12" s="9"/>
      <c r="F12" s="11" t="s">
        <v>31</v>
      </c>
    </row>
    <row r="13">
      <c r="A13" s="9"/>
      <c r="B13" s="9" t="s">
        <v>32</v>
      </c>
      <c r="C13" s="10"/>
      <c r="D13" s="9"/>
      <c r="E13" s="9"/>
      <c r="F13" s="11" t="s">
        <v>33</v>
      </c>
    </row>
    <row r="14">
      <c r="A14" s="9"/>
      <c r="B14" s="9" t="s">
        <v>34</v>
      </c>
      <c r="C14" s="10"/>
      <c r="D14" s="9"/>
      <c r="E14" s="9"/>
      <c r="F14" s="11">
        <v>80000.0</v>
      </c>
    </row>
    <row r="15">
      <c r="A15" s="9"/>
      <c r="B15" s="9" t="s">
        <v>35</v>
      </c>
      <c r="C15" s="10"/>
      <c r="D15" s="9"/>
      <c r="E15" s="9"/>
      <c r="F15" s="11">
        <v>40000.0</v>
      </c>
    </row>
    <row r="16">
      <c r="A16" s="9"/>
      <c r="B16" s="9" t="s">
        <v>36</v>
      </c>
      <c r="C16" s="10"/>
      <c r="D16" s="9"/>
      <c r="E16" s="9"/>
      <c r="F16" s="10"/>
    </row>
    <row r="17">
      <c r="A17" s="9"/>
      <c r="B17" s="9"/>
      <c r="C17" s="9"/>
      <c r="D17" s="9"/>
      <c r="E17" s="13"/>
      <c r="F17" s="9"/>
    </row>
    <row r="18">
      <c r="A18" s="9" t="s">
        <v>39</v>
      </c>
      <c r="B18" s="9" t="s">
        <v>40</v>
      </c>
      <c r="C18" s="10" t="s">
        <v>11</v>
      </c>
      <c r="D18" s="10"/>
      <c r="E18" s="10" t="s">
        <v>41</v>
      </c>
      <c r="F18" s="10"/>
    </row>
    <row r="19">
      <c r="A19" s="9"/>
      <c r="B19" s="9" t="s">
        <v>43</v>
      </c>
      <c r="C19" s="10"/>
      <c r="D19" s="10"/>
      <c r="E19" s="10"/>
      <c r="F19" s="10" t="s">
        <v>41</v>
      </c>
    </row>
    <row r="20">
      <c r="A20" s="9"/>
      <c r="B20" s="9" t="s">
        <v>45</v>
      </c>
      <c r="C20" s="10"/>
      <c r="D20" s="10"/>
      <c r="E20" s="10"/>
      <c r="F20" s="10"/>
    </row>
    <row r="21" ht="15.75" customHeight="1">
      <c r="A21" s="9"/>
      <c r="B21" s="9"/>
      <c r="C21" s="9"/>
      <c r="D21" s="9"/>
      <c r="E21" s="9"/>
      <c r="F21" s="9"/>
    </row>
    <row r="22" ht="15.75" customHeight="1">
      <c r="A22" s="9" t="s">
        <v>47</v>
      </c>
      <c r="B22" s="9" t="s">
        <v>40</v>
      </c>
      <c r="C22" s="10" t="s">
        <v>11</v>
      </c>
      <c r="D22" s="10"/>
      <c r="E22" s="11">
        <v>35000.0</v>
      </c>
      <c r="F22" s="10"/>
    </row>
    <row r="23" ht="15.75" customHeight="1">
      <c r="A23" s="9"/>
      <c r="B23" s="9" t="s">
        <v>49</v>
      </c>
      <c r="C23" s="10"/>
      <c r="D23" s="10"/>
      <c r="E23" s="10"/>
      <c r="F23" s="11">
        <v>35000.0</v>
      </c>
    </row>
    <row r="24" ht="15.75" customHeight="1">
      <c r="A24" s="9"/>
      <c r="B24" s="9" t="s">
        <v>52</v>
      </c>
      <c r="C24" s="10"/>
      <c r="D24" s="10"/>
      <c r="E24" s="10"/>
      <c r="F24" s="10"/>
    </row>
    <row r="25" ht="15.75" customHeight="1">
      <c r="A25" s="9"/>
      <c r="B25" s="9"/>
      <c r="C25" s="9"/>
      <c r="D25" s="9"/>
      <c r="E25" s="9"/>
      <c r="F25" s="9"/>
    </row>
    <row r="26" ht="15.75" customHeight="1">
      <c r="A26" s="9" t="s">
        <v>55</v>
      </c>
      <c r="B26" s="9" t="s">
        <v>26</v>
      </c>
      <c r="C26" s="10" t="s">
        <v>11</v>
      </c>
      <c r="D26" s="10"/>
      <c r="E26" s="10" t="s">
        <v>56</v>
      </c>
      <c r="F26" s="10"/>
    </row>
    <row r="27" ht="15.75" customHeight="1">
      <c r="A27" s="9"/>
      <c r="B27" s="9" t="s">
        <v>58</v>
      </c>
      <c r="C27" s="10"/>
      <c r="D27" s="10"/>
      <c r="E27" s="10"/>
      <c r="F27" s="10" t="s">
        <v>56</v>
      </c>
    </row>
    <row r="28" ht="15.75" customHeight="1">
      <c r="A28" s="9"/>
      <c r="B28" s="9" t="s">
        <v>59</v>
      </c>
      <c r="C28" s="10"/>
      <c r="D28" s="10"/>
      <c r="E28" s="10"/>
      <c r="F28" s="10"/>
    </row>
    <row r="29" ht="15.75" customHeight="1">
      <c r="A29" s="9"/>
      <c r="B29" s="9"/>
      <c r="C29" s="10"/>
      <c r="D29" s="10"/>
      <c r="E29" s="10"/>
      <c r="F29" s="10"/>
    </row>
    <row r="30" ht="15.75" customHeight="1">
      <c r="A30" s="9" t="s">
        <v>61</v>
      </c>
      <c r="B30" s="9" t="s">
        <v>10</v>
      </c>
      <c r="C30" s="10" t="s">
        <v>11</v>
      </c>
      <c r="D30" s="10"/>
      <c r="E30" s="11">
        <v>75000.0</v>
      </c>
      <c r="F30" s="10"/>
    </row>
    <row r="31" ht="15.75" customHeight="1">
      <c r="A31" s="9"/>
      <c r="B31" s="9" t="s">
        <v>58</v>
      </c>
      <c r="C31" s="10"/>
      <c r="D31" s="10"/>
      <c r="E31" s="10"/>
      <c r="F31" s="11">
        <v>75000.0</v>
      </c>
    </row>
    <row r="32" ht="15.75" customHeight="1">
      <c r="A32" s="9"/>
      <c r="B32" s="9" t="s">
        <v>65</v>
      </c>
      <c r="C32" s="10"/>
      <c r="D32" s="10"/>
      <c r="E32" s="10"/>
      <c r="F32" s="10"/>
    </row>
    <row r="33" ht="15.75" customHeight="1">
      <c r="A33" s="9"/>
      <c r="B33" s="9"/>
      <c r="C33" s="10"/>
      <c r="D33" s="10"/>
      <c r="E33" s="10"/>
      <c r="F33" s="10"/>
    </row>
    <row r="34" ht="15.75" customHeight="1">
      <c r="A34" s="9" t="s">
        <v>67</v>
      </c>
      <c r="B34" s="9" t="s">
        <v>68</v>
      </c>
      <c r="C34" s="10" t="s">
        <v>11</v>
      </c>
      <c r="D34" s="10"/>
      <c r="E34" s="11">
        <v>4500.0</v>
      </c>
      <c r="F34" s="10"/>
    </row>
    <row r="35" ht="15.75" customHeight="1">
      <c r="A35" s="9"/>
      <c r="B35" s="9" t="s">
        <v>69</v>
      </c>
      <c r="C35" s="10"/>
      <c r="D35" s="10"/>
      <c r="E35" s="10"/>
      <c r="F35" s="11">
        <v>4500.0</v>
      </c>
    </row>
    <row r="36" ht="15.75" customHeight="1">
      <c r="A36" s="9"/>
      <c r="B36" s="9" t="s">
        <v>70</v>
      </c>
      <c r="C36" s="10"/>
      <c r="D36" s="10"/>
      <c r="E36" s="10"/>
      <c r="F36" s="10"/>
    </row>
    <row r="37" ht="15.75" customHeight="1">
      <c r="A37" s="9"/>
      <c r="B37" s="9"/>
      <c r="C37" s="10"/>
      <c r="D37" s="10"/>
      <c r="E37" s="10"/>
      <c r="F37" s="10"/>
    </row>
    <row r="38" ht="15.75" customHeight="1">
      <c r="A38" s="9" t="s">
        <v>71</v>
      </c>
      <c r="B38" s="9" t="s">
        <v>72</v>
      </c>
      <c r="C38" s="10" t="s">
        <v>11</v>
      </c>
      <c r="D38" s="10"/>
      <c r="E38" s="11">
        <v>15000.0</v>
      </c>
      <c r="F38" s="10"/>
    </row>
    <row r="39" ht="15.75" customHeight="1">
      <c r="A39" s="9"/>
      <c r="B39" s="9" t="s">
        <v>49</v>
      </c>
      <c r="C39" s="10"/>
      <c r="D39" s="10"/>
      <c r="E39" s="10"/>
      <c r="F39" s="11">
        <v>15000.0</v>
      </c>
    </row>
    <row r="40" ht="15.75" customHeight="1">
      <c r="A40" s="9"/>
      <c r="B40" s="9" t="s">
        <v>74</v>
      </c>
      <c r="C40" s="10"/>
      <c r="D40" s="10"/>
      <c r="E40" s="10"/>
      <c r="F40" s="10"/>
    </row>
    <row r="41" ht="15.75" customHeight="1">
      <c r="A41" s="9"/>
      <c r="B41" s="9"/>
      <c r="C41" s="9"/>
      <c r="D41" s="9"/>
      <c r="E41" s="9"/>
      <c r="F41" s="9"/>
    </row>
    <row r="42" ht="15.75" customHeight="1">
      <c r="A42" s="9" t="s">
        <v>75</v>
      </c>
      <c r="B42" s="9" t="s">
        <v>76</v>
      </c>
      <c r="C42" s="10" t="s">
        <v>11</v>
      </c>
      <c r="D42" s="10"/>
      <c r="E42" s="11">
        <v>12000.0</v>
      </c>
      <c r="F42" s="10"/>
    </row>
    <row r="43" ht="15.75" customHeight="1">
      <c r="A43" s="9"/>
      <c r="B43" s="9" t="s">
        <v>77</v>
      </c>
      <c r="C43" s="10"/>
      <c r="D43" s="10"/>
      <c r="E43" s="10"/>
      <c r="F43" s="11">
        <v>12000.0</v>
      </c>
    </row>
    <row r="44" ht="15.75" customHeight="1">
      <c r="A44" s="9"/>
      <c r="B44" s="9" t="s">
        <v>80</v>
      </c>
      <c r="C44" s="10"/>
      <c r="D44" s="10"/>
      <c r="E44" s="10"/>
      <c r="F44" s="10"/>
    </row>
    <row r="45" ht="15.75" customHeight="1">
      <c r="A45" s="9"/>
      <c r="B45" s="9"/>
      <c r="C45" s="9"/>
      <c r="D45" s="9"/>
      <c r="E45" s="9"/>
      <c r="F45" s="9"/>
    </row>
    <row r="46" ht="15.75" customHeight="1">
      <c r="A46" s="9" t="s">
        <v>81</v>
      </c>
      <c r="B46" s="9" t="s">
        <v>82</v>
      </c>
      <c r="C46" s="10" t="s">
        <v>11</v>
      </c>
      <c r="D46" s="10"/>
      <c r="E46" s="11">
        <v>10000.0</v>
      </c>
      <c r="F46" s="10"/>
    </row>
    <row r="47" ht="15.75" customHeight="1">
      <c r="A47" s="9"/>
      <c r="B47" s="9" t="s">
        <v>85</v>
      </c>
      <c r="C47" s="10"/>
      <c r="D47" s="10"/>
      <c r="E47" s="10"/>
      <c r="F47" s="11">
        <v>10000.0</v>
      </c>
    </row>
    <row r="48" ht="15.75" customHeight="1">
      <c r="A48" s="9"/>
      <c r="B48" s="9" t="s">
        <v>86</v>
      </c>
      <c r="C48" s="10"/>
      <c r="D48" s="10"/>
      <c r="E48" s="10"/>
      <c r="F48" s="10"/>
    </row>
    <row r="49" ht="15.75" customHeight="1">
      <c r="A49" s="9"/>
      <c r="B49" s="9"/>
      <c r="C49" s="10"/>
      <c r="D49" s="10"/>
      <c r="E49" s="10"/>
      <c r="F49" s="10"/>
    </row>
    <row r="50" ht="15.75" customHeight="1">
      <c r="A50" s="9" t="s">
        <v>90</v>
      </c>
      <c r="B50" s="9" t="s">
        <v>91</v>
      </c>
      <c r="C50" s="10" t="s">
        <v>11</v>
      </c>
      <c r="D50" s="10"/>
      <c r="E50" s="11">
        <v>50000.0</v>
      </c>
      <c r="F50" s="10"/>
    </row>
    <row r="51" ht="15.75" customHeight="1">
      <c r="A51" s="9"/>
      <c r="B51" s="9" t="s">
        <v>94</v>
      </c>
      <c r="C51" s="10"/>
      <c r="D51" s="10"/>
      <c r="E51" s="10"/>
      <c r="F51" s="11">
        <v>50000.0</v>
      </c>
    </row>
    <row r="52" ht="15.75" customHeight="1">
      <c r="A52" s="9"/>
      <c r="B52" s="25" t="s">
        <v>96</v>
      </c>
      <c r="C52" s="10"/>
      <c r="D52" s="10"/>
      <c r="E52" s="10"/>
      <c r="F52" s="10"/>
    </row>
    <row r="53" ht="15.75" customHeight="1">
      <c r="A53" s="9"/>
      <c r="B53" s="9"/>
      <c r="C53" s="10"/>
      <c r="D53" s="10"/>
      <c r="E53" s="10"/>
      <c r="F53" s="10"/>
    </row>
    <row r="54" ht="15.75" customHeight="1">
      <c r="A54" s="9" t="s">
        <v>103</v>
      </c>
      <c r="B54" s="9" t="s">
        <v>104</v>
      </c>
      <c r="C54" s="10" t="s">
        <v>11</v>
      </c>
      <c r="D54" s="10"/>
      <c r="E54" s="11">
        <v>22000.0</v>
      </c>
      <c r="F54" s="10"/>
    </row>
    <row r="55" ht="15.75" customHeight="1">
      <c r="A55" s="9"/>
      <c r="B55" s="9" t="s">
        <v>49</v>
      </c>
      <c r="C55" s="10"/>
      <c r="D55" s="10"/>
      <c r="E55" s="10"/>
      <c r="F55" s="11">
        <v>22000.0</v>
      </c>
    </row>
    <row r="56" ht="15.75" customHeight="1">
      <c r="A56" s="9"/>
      <c r="B56" s="25" t="s">
        <v>106</v>
      </c>
      <c r="C56" s="10"/>
      <c r="D56" s="10"/>
      <c r="E56" s="10"/>
      <c r="F56" s="10"/>
    </row>
    <row r="57" ht="15.75" customHeight="1">
      <c r="A57" s="9"/>
      <c r="B57" s="9"/>
      <c r="C57" s="10"/>
      <c r="D57" s="10"/>
      <c r="E57" s="10"/>
      <c r="F57" s="10"/>
    </row>
    <row r="58" ht="15.75" customHeight="1">
      <c r="A58" s="9" t="s">
        <v>108</v>
      </c>
      <c r="B58" s="9" t="s">
        <v>10</v>
      </c>
      <c r="C58" s="10" t="s">
        <v>11</v>
      </c>
      <c r="D58" s="10"/>
      <c r="E58" s="10" t="s">
        <v>110</v>
      </c>
      <c r="F58" s="10"/>
    </row>
    <row r="59" ht="15.75" customHeight="1">
      <c r="A59" s="9"/>
      <c r="B59" s="9" t="s">
        <v>111</v>
      </c>
      <c r="C59" s="10" t="s">
        <v>11</v>
      </c>
      <c r="D59" s="10"/>
      <c r="E59" s="11">
        <v>6000.0</v>
      </c>
      <c r="F59" s="10"/>
    </row>
    <row r="60" ht="15.75" customHeight="1">
      <c r="A60" s="9"/>
      <c r="B60" s="25" t="s">
        <v>85</v>
      </c>
      <c r="C60" s="10"/>
      <c r="D60" s="10"/>
      <c r="E60" s="10"/>
      <c r="F60" s="10" t="s">
        <v>116</v>
      </c>
    </row>
    <row r="61" ht="15.75" customHeight="1">
      <c r="A61" s="9"/>
      <c r="B61" s="25" t="s">
        <v>117</v>
      </c>
      <c r="C61" s="10"/>
      <c r="D61" s="10"/>
      <c r="E61" s="10"/>
      <c r="F61" s="10"/>
    </row>
    <row r="62" ht="15.75" customHeight="1">
      <c r="A62" s="9"/>
      <c r="B62" s="9"/>
      <c r="C62" s="9"/>
      <c r="D62" s="9"/>
      <c r="E62" s="9"/>
      <c r="F62" s="9"/>
    </row>
    <row r="63" ht="15.75" customHeight="1">
      <c r="A63" s="9" t="s">
        <v>124</v>
      </c>
      <c r="B63" s="9" t="s">
        <v>76</v>
      </c>
      <c r="C63" s="10" t="s">
        <v>11</v>
      </c>
      <c r="D63" s="10"/>
      <c r="E63" s="10" t="s">
        <v>127</v>
      </c>
      <c r="F63" s="10"/>
    </row>
    <row r="64" ht="15.75" customHeight="1">
      <c r="A64" s="9"/>
      <c r="B64" s="9" t="s">
        <v>94</v>
      </c>
      <c r="C64" s="10"/>
      <c r="D64" s="10"/>
      <c r="E64" s="10"/>
      <c r="F64" s="10" t="s">
        <v>130</v>
      </c>
    </row>
    <row r="65" ht="15.75" customHeight="1">
      <c r="A65" s="9"/>
      <c r="B65" s="9" t="s">
        <v>132</v>
      </c>
      <c r="C65" s="10"/>
      <c r="D65" s="10"/>
      <c r="E65" s="10"/>
      <c r="F65" s="11">
        <v>7000.0</v>
      </c>
    </row>
    <row r="66" ht="15.75" customHeight="1">
      <c r="A66" s="9"/>
      <c r="B66" s="25" t="s">
        <v>134</v>
      </c>
      <c r="C66" s="10"/>
      <c r="D66" s="10"/>
      <c r="E66" s="10"/>
      <c r="F66" s="10"/>
    </row>
    <row r="67" ht="15.75" customHeight="1">
      <c r="A67" s="9"/>
      <c r="B67" s="9"/>
      <c r="C67" s="10"/>
      <c r="D67" s="10"/>
      <c r="E67" s="10"/>
      <c r="F67" s="10"/>
    </row>
    <row r="68" ht="15.75" customHeight="1">
      <c r="A68" s="9" t="s">
        <v>138</v>
      </c>
      <c r="B68" s="9" t="s">
        <v>141</v>
      </c>
      <c r="C68" s="10" t="s">
        <v>11</v>
      </c>
      <c r="D68" s="10"/>
      <c r="E68" s="11">
        <v>18000.0</v>
      </c>
      <c r="F68" s="10"/>
    </row>
    <row r="69" ht="15.75" customHeight="1">
      <c r="A69" s="9"/>
      <c r="B69" s="9" t="s">
        <v>49</v>
      </c>
      <c r="C69" s="10"/>
      <c r="D69" s="10"/>
      <c r="E69" s="10"/>
      <c r="F69" s="11">
        <v>18000.0</v>
      </c>
    </row>
    <row r="70" ht="15.75" customHeight="1">
      <c r="A70" s="9"/>
      <c r="B70" s="9" t="s">
        <v>146</v>
      </c>
      <c r="C70" s="10"/>
      <c r="D70" s="10"/>
      <c r="E70" s="10"/>
      <c r="F70" s="10"/>
    </row>
    <row r="71" ht="15.75" customHeight="1">
      <c r="A71" s="9"/>
      <c r="B71" s="9"/>
      <c r="C71" s="9"/>
      <c r="D71" s="9"/>
      <c r="E71" s="9"/>
      <c r="F71" s="9"/>
    </row>
    <row r="72" ht="15.75" customHeight="1">
      <c r="A72" s="9" t="s">
        <v>148</v>
      </c>
      <c r="B72" s="9" t="s">
        <v>40</v>
      </c>
      <c r="C72" s="10" t="s">
        <v>11</v>
      </c>
      <c r="D72" s="10"/>
      <c r="E72" s="11">
        <v>85000.0</v>
      </c>
      <c r="F72" s="10"/>
    </row>
    <row r="73" ht="15.75" customHeight="1">
      <c r="A73" s="9"/>
      <c r="B73" s="9" t="s">
        <v>35</v>
      </c>
      <c r="C73" s="10"/>
      <c r="D73" s="10"/>
      <c r="E73" s="10"/>
      <c r="F73" s="11">
        <v>85000.0</v>
      </c>
    </row>
    <row r="74" ht="15.75" customHeight="1">
      <c r="A74" s="9"/>
      <c r="B74" s="25" t="s">
        <v>156</v>
      </c>
      <c r="C74" s="10"/>
      <c r="D74" s="10"/>
      <c r="E74" s="10"/>
      <c r="F74" s="10"/>
    </row>
    <row r="75" ht="15.75" customHeight="1">
      <c r="A75" s="9"/>
      <c r="B75" s="9"/>
      <c r="C75" s="9"/>
      <c r="D75" s="9"/>
      <c r="E75" s="9"/>
      <c r="F75" s="9"/>
    </row>
    <row r="76" ht="15.75" customHeight="1">
      <c r="A76" s="9" t="s">
        <v>158</v>
      </c>
      <c r="B76" s="25" t="s">
        <v>27</v>
      </c>
      <c r="C76" s="10" t="s">
        <v>11</v>
      </c>
      <c r="D76" s="10"/>
      <c r="E76" s="10" t="s">
        <v>17</v>
      </c>
      <c r="F76" s="10"/>
    </row>
    <row r="77" ht="15.75" customHeight="1">
      <c r="A77" s="9"/>
      <c r="B77" s="25" t="s">
        <v>58</v>
      </c>
      <c r="C77" s="10"/>
      <c r="D77" s="10"/>
      <c r="E77" s="10"/>
      <c r="F77" s="10" t="s">
        <v>17</v>
      </c>
    </row>
    <row r="78" ht="15.75" customHeight="1">
      <c r="A78" s="9"/>
      <c r="B78" s="25" t="s">
        <v>165</v>
      </c>
      <c r="C78" s="10"/>
      <c r="D78" s="10"/>
      <c r="E78" s="10"/>
      <c r="F78" s="10"/>
    </row>
    <row r="79" ht="15.75" customHeight="1">
      <c r="A79" s="9"/>
      <c r="B79" s="9"/>
      <c r="C79" s="10"/>
      <c r="D79" s="10"/>
      <c r="E79" s="10"/>
      <c r="F79" s="10"/>
    </row>
    <row r="80" ht="15.75" customHeight="1">
      <c r="A80" s="9" t="s">
        <v>167</v>
      </c>
      <c r="B80" s="25" t="s">
        <v>15</v>
      </c>
      <c r="C80" s="10" t="s">
        <v>11</v>
      </c>
      <c r="D80" s="10"/>
      <c r="E80" s="10" t="s">
        <v>41</v>
      </c>
      <c r="F80" s="10"/>
    </row>
    <row r="81" ht="15.75" customHeight="1">
      <c r="A81" s="9"/>
      <c r="B81" s="25" t="s">
        <v>173</v>
      </c>
      <c r="C81" s="10"/>
      <c r="D81" s="10"/>
      <c r="E81" s="10"/>
      <c r="F81" s="10" t="s">
        <v>41</v>
      </c>
    </row>
    <row r="82" ht="15.75" customHeight="1">
      <c r="A82" s="9"/>
      <c r="B82" s="25" t="s">
        <v>178</v>
      </c>
      <c r="C82" s="10"/>
      <c r="D82" s="10"/>
      <c r="E82" s="10"/>
      <c r="F82" s="10"/>
    </row>
    <row r="83" ht="15.75" customHeight="1">
      <c r="A83" s="9"/>
      <c r="B83" s="9"/>
      <c r="C83" s="10"/>
      <c r="D83" s="10"/>
      <c r="E83" s="10"/>
      <c r="F83" s="10"/>
    </row>
    <row r="84" ht="15.75" customHeight="1">
      <c r="A84" s="9" t="s">
        <v>184</v>
      </c>
      <c r="B84" s="25" t="s">
        <v>168</v>
      </c>
      <c r="C84" s="10" t="s">
        <v>11</v>
      </c>
      <c r="D84" s="10"/>
      <c r="E84" s="11">
        <v>5500.0</v>
      </c>
      <c r="F84" s="10"/>
    </row>
    <row r="85" ht="15.75" customHeight="1">
      <c r="A85" s="9"/>
      <c r="B85" s="25" t="s">
        <v>49</v>
      </c>
      <c r="C85" s="10"/>
      <c r="D85" s="10"/>
      <c r="E85" s="10"/>
      <c r="F85" s="11">
        <v>5500.0</v>
      </c>
    </row>
    <row r="86" ht="15.75" customHeight="1">
      <c r="A86" s="9"/>
      <c r="B86" s="25" t="s">
        <v>191</v>
      </c>
      <c r="C86" s="10"/>
      <c r="D86" s="10"/>
      <c r="E86" s="10"/>
      <c r="F86" s="10"/>
    </row>
    <row r="87" ht="15.75" customHeight="1">
      <c r="A87" s="9"/>
      <c r="B87" s="9"/>
      <c r="C87" s="10"/>
      <c r="D87" s="10"/>
      <c r="E87" s="10"/>
      <c r="F87" s="10"/>
    </row>
    <row r="88" ht="15.75" customHeight="1">
      <c r="A88" s="9" t="s">
        <v>161</v>
      </c>
      <c r="B88" s="25" t="s">
        <v>10</v>
      </c>
      <c r="C88" s="10" t="s">
        <v>11</v>
      </c>
      <c r="D88" s="10"/>
      <c r="E88" s="11">
        <v>9000.0</v>
      </c>
      <c r="F88" s="10"/>
    </row>
    <row r="89" ht="15.75" customHeight="1">
      <c r="A89" s="9"/>
      <c r="B89" s="25" t="s">
        <v>163</v>
      </c>
      <c r="C89" s="10"/>
      <c r="D89" s="10"/>
      <c r="E89" s="10"/>
      <c r="F89" s="11">
        <v>9000.0</v>
      </c>
    </row>
    <row r="90" ht="15.75" customHeight="1">
      <c r="A90" s="9"/>
      <c r="B90" s="25" t="s">
        <v>197</v>
      </c>
      <c r="C90" s="10"/>
      <c r="D90" s="10"/>
      <c r="E90" s="10"/>
      <c r="F90" s="10"/>
    </row>
    <row r="91" ht="15.75" customHeight="1">
      <c r="A91" s="9"/>
      <c r="B91" s="9"/>
      <c r="C91" s="10"/>
      <c r="D91" s="10"/>
      <c r="E91" s="10"/>
      <c r="F91" s="10"/>
    </row>
    <row r="92" ht="15.75" customHeight="1">
      <c r="A92" s="9" t="s">
        <v>176</v>
      </c>
      <c r="B92" s="25" t="s">
        <v>10</v>
      </c>
      <c r="C92" s="10" t="s">
        <v>11</v>
      </c>
      <c r="D92" s="10"/>
      <c r="E92" s="11">
        <v>20000.0</v>
      </c>
      <c r="F92" s="10"/>
    </row>
    <row r="93" ht="15.75" customHeight="1">
      <c r="A93" s="9"/>
      <c r="B93" s="9" t="s">
        <v>94</v>
      </c>
      <c r="C93" s="10"/>
      <c r="D93" s="10"/>
      <c r="E93" s="10"/>
      <c r="F93" s="11">
        <v>20000.0</v>
      </c>
    </row>
    <row r="94" ht="15.75" customHeight="1">
      <c r="A94" s="9"/>
      <c r="B94" s="25" t="s">
        <v>208</v>
      </c>
      <c r="C94" s="10"/>
      <c r="D94" s="10"/>
      <c r="E94" s="10"/>
      <c r="F94" s="10"/>
    </row>
    <row r="95" ht="15.75" customHeight="1">
      <c r="A95" s="9"/>
      <c r="B95" s="9"/>
      <c r="C95" s="10"/>
      <c r="D95" s="10"/>
      <c r="E95" s="10"/>
      <c r="F95" s="10"/>
    </row>
    <row r="96" ht="15.75" customHeight="1">
      <c r="A96" s="9" t="s">
        <v>190</v>
      </c>
      <c r="B96" s="25" t="s">
        <v>177</v>
      </c>
      <c r="C96" s="10" t="s">
        <v>11</v>
      </c>
      <c r="D96" s="10"/>
      <c r="E96" s="11">
        <v>12000.0</v>
      </c>
      <c r="F96" s="10"/>
    </row>
    <row r="97" ht="15.75" customHeight="1">
      <c r="A97" s="9"/>
      <c r="B97" s="25" t="s">
        <v>49</v>
      </c>
      <c r="C97" s="10"/>
      <c r="D97" s="10"/>
      <c r="E97" s="10"/>
      <c r="F97" s="11">
        <v>12000.0</v>
      </c>
    </row>
    <row r="98" ht="15.75" customHeight="1">
      <c r="A98" s="9"/>
      <c r="B98" s="25" t="s">
        <v>215</v>
      </c>
      <c r="C98" s="10"/>
      <c r="D98" s="10"/>
      <c r="E98" s="10"/>
      <c r="F98" s="10"/>
    </row>
    <row r="99" ht="15.75" customHeight="1">
      <c r="A99" s="9"/>
      <c r="B99" s="9"/>
      <c r="C99" s="10"/>
      <c r="D99" s="10"/>
      <c r="E99" s="10"/>
      <c r="F99" s="10"/>
    </row>
    <row r="100" ht="15.75" customHeight="1">
      <c r="A100" s="9" t="s">
        <v>220</v>
      </c>
      <c r="B100" s="25" t="s">
        <v>179</v>
      </c>
      <c r="C100" s="10" t="s">
        <v>11</v>
      </c>
      <c r="D100" s="10"/>
      <c r="E100" s="11">
        <v>6000.0</v>
      </c>
      <c r="F100" s="10"/>
    </row>
    <row r="101" ht="15.75" customHeight="1">
      <c r="A101" s="9"/>
      <c r="B101" s="9" t="s">
        <v>94</v>
      </c>
      <c r="C101" s="10"/>
      <c r="D101" s="10"/>
      <c r="E101" s="10"/>
      <c r="F101" s="11">
        <v>6000.0</v>
      </c>
    </row>
    <row r="102" ht="15.75" customHeight="1">
      <c r="A102" s="9"/>
      <c r="B102" s="25" t="s">
        <v>224</v>
      </c>
      <c r="C102" s="10"/>
      <c r="D102" s="10"/>
      <c r="E102" s="10"/>
      <c r="F102" s="10"/>
    </row>
    <row r="103" ht="15.75" customHeight="1">
      <c r="A103" s="9"/>
      <c r="B103" s="9"/>
      <c r="C103" s="10"/>
      <c r="D103" s="10"/>
      <c r="E103" s="10"/>
      <c r="F103" s="10"/>
    </row>
    <row r="104" ht="15.75" customHeight="1">
      <c r="A104" s="9" t="s">
        <v>195</v>
      </c>
      <c r="B104" s="25" t="s">
        <v>229</v>
      </c>
      <c r="C104" s="10" t="s">
        <v>11</v>
      </c>
      <c r="D104" s="10"/>
      <c r="E104" s="11">
        <v>4000.0</v>
      </c>
      <c r="F104" s="10"/>
    </row>
    <row r="105" ht="15.75" customHeight="1">
      <c r="A105" s="9"/>
      <c r="B105" s="25" t="s">
        <v>49</v>
      </c>
      <c r="C105" s="10"/>
      <c r="D105" s="10"/>
      <c r="E105" s="10"/>
      <c r="F105" s="11">
        <v>4000.0</v>
      </c>
    </row>
    <row r="106" ht="15.75" customHeight="1">
      <c r="A106" s="9"/>
      <c r="B106" s="25" t="s">
        <v>233</v>
      </c>
      <c r="C106" s="10"/>
      <c r="D106" s="10"/>
      <c r="E106" s="10"/>
      <c r="F106" s="10"/>
    </row>
    <row r="107" ht="15.75" customHeight="1">
      <c r="A107" s="9"/>
      <c r="B107" s="9"/>
      <c r="C107" s="10"/>
      <c r="D107" s="10"/>
      <c r="E107" s="10"/>
      <c r="F107" s="10"/>
    </row>
    <row r="108" ht="15.75" customHeight="1">
      <c r="A108" s="9" t="s">
        <v>236</v>
      </c>
      <c r="B108" s="25" t="s">
        <v>15</v>
      </c>
      <c r="C108" s="10" t="s">
        <v>11</v>
      </c>
      <c r="D108" s="10"/>
      <c r="E108" s="11">
        <v>3000.0</v>
      </c>
      <c r="F108" s="10"/>
    </row>
    <row r="109" ht="15.75" customHeight="1">
      <c r="A109" s="9"/>
      <c r="B109" s="25" t="s">
        <v>237</v>
      </c>
      <c r="C109" s="10"/>
      <c r="D109" s="10"/>
      <c r="E109" s="10"/>
      <c r="F109" s="11">
        <v>3000.0</v>
      </c>
    </row>
    <row r="110" ht="15.75" customHeight="1">
      <c r="A110" s="9"/>
      <c r="B110" s="25" t="s">
        <v>240</v>
      </c>
      <c r="C110" s="10"/>
      <c r="D110" s="10"/>
      <c r="E110" s="10"/>
      <c r="F110" s="10"/>
    </row>
    <row r="111" ht="15.75" customHeight="1">
      <c r="A111" s="9"/>
      <c r="B111" s="9"/>
      <c r="C111" s="10"/>
      <c r="D111" s="10"/>
      <c r="E111" s="10"/>
      <c r="F111" s="10"/>
    </row>
    <row r="112" ht="15.75" customHeight="1">
      <c r="A112" s="9" t="s">
        <v>198</v>
      </c>
      <c r="B112" s="9" t="s">
        <v>40</v>
      </c>
      <c r="C112" s="10" t="s">
        <v>11</v>
      </c>
      <c r="D112" s="10"/>
      <c r="E112" s="11">
        <v>30000.0</v>
      </c>
      <c r="F112" s="10"/>
    </row>
    <row r="113" ht="15.75" customHeight="1">
      <c r="A113" s="9"/>
      <c r="B113" s="9" t="s">
        <v>49</v>
      </c>
      <c r="C113" s="10"/>
      <c r="D113" s="10"/>
      <c r="E113" s="10"/>
      <c r="F113" s="11">
        <v>30000.0</v>
      </c>
    </row>
    <row r="114" ht="15.75" customHeight="1">
      <c r="A114" s="9"/>
      <c r="B114" s="9" t="s">
        <v>52</v>
      </c>
      <c r="C114" s="10"/>
      <c r="D114" s="10"/>
      <c r="E114" s="10"/>
      <c r="F114" s="10"/>
    </row>
    <row r="115" ht="15.75" customHeight="1">
      <c r="A115" s="9"/>
      <c r="B115" s="9"/>
      <c r="C115" s="10"/>
      <c r="D115" s="10"/>
      <c r="E115" s="10"/>
      <c r="F115" s="10"/>
    </row>
    <row r="116" ht="15.75" customHeight="1">
      <c r="A116" s="9" t="s">
        <v>202</v>
      </c>
      <c r="B116" s="25" t="s">
        <v>187</v>
      </c>
      <c r="C116" s="10" t="s">
        <v>11</v>
      </c>
      <c r="D116" s="10"/>
      <c r="E116" s="11">
        <v>8500.0</v>
      </c>
      <c r="F116" s="10"/>
    </row>
    <row r="117" ht="15.75" customHeight="1">
      <c r="A117" s="9"/>
      <c r="B117" s="25" t="s">
        <v>49</v>
      </c>
      <c r="C117" s="10"/>
      <c r="D117" s="10"/>
      <c r="E117" s="10"/>
      <c r="F117" s="11">
        <v>8500.0</v>
      </c>
    </row>
    <row r="118" ht="15.75" customHeight="1">
      <c r="A118" s="9"/>
      <c r="B118" s="25" t="s">
        <v>250</v>
      </c>
      <c r="C118" s="10"/>
      <c r="D118" s="10"/>
      <c r="E118" s="10"/>
      <c r="F118" s="10"/>
    </row>
    <row r="119" ht="15.75" customHeight="1">
      <c r="A119" s="9"/>
      <c r="B119" s="9"/>
      <c r="C119" s="10"/>
      <c r="D119" s="10"/>
      <c r="E119" s="10"/>
      <c r="F119" s="10"/>
    </row>
    <row r="120" ht="15.75" customHeight="1">
      <c r="A120" s="9" t="s">
        <v>205</v>
      </c>
      <c r="B120" s="25" t="s">
        <v>200</v>
      </c>
      <c r="C120" s="10" t="s">
        <v>11</v>
      </c>
      <c r="D120" s="10"/>
      <c r="E120" s="11">
        <v>2500.0</v>
      </c>
      <c r="F120" s="10"/>
    </row>
    <row r="121" ht="15.75" customHeight="1">
      <c r="A121" s="9"/>
      <c r="B121" s="25" t="s">
        <v>49</v>
      </c>
      <c r="C121" s="10"/>
      <c r="D121" s="10"/>
      <c r="E121" s="10"/>
      <c r="F121" s="11">
        <v>2500.0</v>
      </c>
    </row>
    <row r="122" ht="15.75" customHeight="1">
      <c r="A122" s="9"/>
      <c r="B122" s="25" t="s">
        <v>253</v>
      </c>
      <c r="C122" s="10"/>
      <c r="D122" s="10"/>
      <c r="E122" s="10"/>
      <c r="F122" s="10"/>
    </row>
    <row r="123" ht="15.75" customHeight="1">
      <c r="A123" s="9"/>
      <c r="B123" s="9"/>
      <c r="C123" s="10"/>
      <c r="D123" s="10"/>
      <c r="E123" s="10"/>
      <c r="F123" s="10"/>
    </row>
    <row r="124" ht="15.75" customHeight="1">
      <c r="A124" s="9" t="s">
        <v>209</v>
      </c>
      <c r="B124" s="25" t="s">
        <v>20</v>
      </c>
      <c r="C124" s="10" t="s">
        <v>11</v>
      </c>
      <c r="D124" s="10"/>
      <c r="E124" s="11">
        <v>25000.0</v>
      </c>
      <c r="F124" s="10"/>
    </row>
    <row r="125" ht="15.75" customHeight="1">
      <c r="A125" s="9"/>
      <c r="B125" s="25" t="s">
        <v>49</v>
      </c>
      <c r="C125" s="10"/>
      <c r="D125" s="10"/>
      <c r="E125" s="10"/>
      <c r="F125" s="11">
        <v>25000.0</v>
      </c>
    </row>
    <row r="126" ht="15.75" customHeight="1">
      <c r="A126" s="9"/>
      <c r="B126" s="25" t="s">
        <v>256</v>
      </c>
      <c r="C126" s="10"/>
      <c r="D126" s="10"/>
      <c r="E126" s="10"/>
      <c r="F126" s="10"/>
    </row>
    <row r="127" ht="15.75" customHeight="1">
      <c r="A127" s="9"/>
      <c r="B127" s="9"/>
      <c r="C127" s="10"/>
      <c r="D127" s="10"/>
      <c r="E127" s="10"/>
      <c r="F127" s="10"/>
    </row>
    <row r="128" ht="15.75" customHeight="1">
      <c r="A128" s="9" t="s">
        <v>247</v>
      </c>
      <c r="B128" s="25" t="s">
        <v>257</v>
      </c>
      <c r="C128" s="10" t="s">
        <v>11</v>
      </c>
      <c r="D128" s="10"/>
      <c r="E128" s="11">
        <v>5000.0</v>
      </c>
      <c r="F128" s="10"/>
    </row>
    <row r="129" ht="15.75" customHeight="1">
      <c r="A129" s="9"/>
      <c r="B129" s="9" t="s">
        <v>94</v>
      </c>
      <c r="C129" s="10"/>
      <c r="D129" s="10"/>
      <c r="E129" s="10"/>
      <c r="F129" s="11">
        <v>5000.0</v>
      </c>
    </row>
    <row r="130" ht="15.75" customHeight="1">
      <c r="A130" s="9"/>
      <c r="B130" s="38" t="s">
        <v>258</v>
      </c>
      <c r="C130" s="39"/>
      <c r="D130" s="10"/>
      <c r="E130" s="10"/>
      <c r="F130" s="10"/>
    </row>
    <row r="131" ht="15.75" customHeight="1">
      <c r="A131" s="9"/>
      <c r="B131" s="9"/>
      <c r="C131" s="10"/>
      <c r="D131" s="10"/>
      <c r="E131" s="10"/>
      <c r="F131" s="10"/>
    </row>
    <row r="132" ht="15.75" customHeight="1">
      <c r="A132" s="9" t="s">
        <v>212</v>
      </c>
      <c r="B132" s="25" t="s">
        <v>15</v>
      </c>
      <c r="C132" s="10" t="s">
        <v>11</v>
      </c>
      <c r="D132" s="10"/>
      <c r="E132" s="11">
        <v>40000.0</v>
      </c>
      <c r="F132" s="10"/>
    </row>
    <row r="133" ht="15.75" customHeight="1">
      <c r="A133" s="9"/>
      <c r="B133" s="25" t="s">
        <v>49</v>
      </c>
      <c r="C133" s="10"/>
      <c r="D133" s="10"/>
      <c r="E133" s="10"/>
      <c r="F133" s="11">
        <v>40000.0</v>
      </c>
    </row>
    <row r="134" ht="15.75" customHeight="1">
      <c r="A134" s="9"/>
      <c r="B134" s="25" t="s">
        <v>259</v>
      </c>
      <c r="C134" s="10"/>
      <c r="D134" s="10"/>
      <c r="E134" s="10"/>
      <c r="F134" s="10"/>
    </row>
    <row r="135" ht="15.75" customHeight="1">
      <c r="A135" s="9"/>
      <c r="B135" s="9"/>
      <c r="C135" s="9"/>
      <c r="D135" s="9"/>
      <c r="E135" s="9"/>
      <c r="F135" s="9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71"/>
    <col customWidth="1" min="4" max="4" width="11.29"/>
    <col customWidth="1" min="5" max="5" width="11.57"/>
    <col customWidth="1" min="6" max="6" width="25.86"/>
    <col customWidth="1" min="7" max="7" width="8.71"/>
    <col customWidth="1" min="8" max="8" width="11.0"/>
    <col customWidth="1" min="9" max="26" width="8.71"/>
  </cols>
  <sheetData>
    <row r="1">
      <c r="A1" s="1" t="s">
        <v>28</v>
      </c>
    </row>
    <row r="3">
      <c r="A3" s="14"/>
      <c r="B3" s="14"/>
      <c r="C3" s="14"/>
      <c r="D3" s="15" t="s">
        <v>44</v>
      </c>
      <c r="E3" s="15"/>
      <c r="F3" s="14"/>
      <c r="G3" s="14"/>
      <c r="H3" s="14"/>
    </row>
    <row r="4">
      <c r="A4" s="16" t="s">
        <v>11</v>
      </c>
      <c r="B4" s="14"/>
      <c r="C4" s="14"/>
      <c r="D4" s="14"/>
      <c r="E4" s="14"/>
      <c r="F4" s="14"/>
      <c r="G4" s="14"/>
      <c r="H4" s="17" t="s">
        <v>50</v>
      </c>
    </row>
    <row r="5">
      <c r="A5" s="18" t="s">
        <v>54</v>
      </c>
      <c r="B5" s="19" t="s">
        <v>3</v>
      </c>
      <c r="C5" s="20" t="s">
        <v>62</v>
      </c>
      <c r="D5" s="19" t="s">
        <v>64</v>
      </c>
      <c r="E5" s="20" t="s">
        <v>54</v>
      </c>
      <c r="F5" s="19" t="s">
        <v>3</v>
      </c>
      <c r="G5" s="21" t="s">
        <v>62</v>
      </c>
      <c r="H5" s="22" t="s">
        <v>64</v>
      </c>
    </row>
    <row r="6">
      <c r="A6" s="6" t="s">
        <v>8</v>
      </c>
      <c r="B6" s="6" t="s">
        <v>32</v>
      </c>
      <c r="C6" s="6"/>
      <c r="D6" s="8">
        <v>100000.0</v>
      </c>
      <c r="E6" s="6" t="s">
        <v>8</v>
      </c>
      <c r="F6" s="6" t="s">
        <v>73</v>
      </c>
      <c r="G6" s="6"/>
      <c r="H6" s="8">
        <v>45000.0</v>
      </c>
    </row>
    <row r="7">
      <c r="A7" s="9" t="s">
        <v>8</v>
      </c>
      <c r="B7" s="9" t="s">
        <v>34</v>
      </c>
      <c r="C7" s="9"/>
      <c r="D7" s="11">
        <v>80000.0</v>
      </c>
      <c r="E7" s="9" t="s">
        <v>8</v>
      </c>
      <c r="F7" s="9" t="s">
        <v>79</v>
      </c>
      <c r="G7" s="9"/>
      <c r="H7" s="11">
        <v>120000.0</v>
      </c>
    </row>
    <row r="8">
      <c r="A8" s="9" t="s">
        <v>8</v>
      </c>
      <c r="B8" s="9" t="s">
        <v>35</v>
      </c>
      <c r="C8" s="9"/>
      <c r="D8" s="11">
        <v>40000.0</v>
      </c>
      <c r="E8" s="9" t="s">
        <v>8</v>
      </c>
      <c r="F8" s="9" t="s">
        <v>83</v>
      </c>
      <c r="G8" s="9"/>
      <c r="H8" s="11">
        <v>90000.0</v>
      </c>
    </row>
    <row r="9">
      <c r="A9" s="10" t="s">
        <v>87</v>
      </c>
      <c r="B9" s="9" t="s">
        <v>89</v>
      </c>
      <c r="C9" s="9"/>
      <c r="D9" s="11">
        <v>450000.0</v>
      </c>
      <c r="E9" s="9" t="s">
        <v>8</v>
      </c>
      <c r="F9" s="9" t="s">
        <v>92</v>
      </c>
      <c r="G9" s="9"/>
      <c r="H9" s="11">
        <v>60000.0</v>
      </c>
    </row>
    <row r="10">
      <c r="A10" s="9"/>
      <c r="B10" s="9"/>
      <c r="C10" s="9"/>
      <c r="D10" s="9"/>
      <c r="E10" s="9" t="s">
        <v>8</v>
      </c>
      <c r="F10" s="9" t="s">
        <v>95</v>
      </c>
      <c r="G10" s="9"/>
      <c r="H10" s="11">
        <v>200000.0</v>
      </c>
    </row>
    <row r="11">
      <c r="A11" s="9"/>
      <c r="B11" s="9"/>
      <c r="C11" s="9"/>
      <c r="D11" s="9"/>
      <c r="E11" s="9" t="s">
        <v>8</v>
      </c>
      <c r="F11" s="9" t="s">
        <v>98</v>
      </c>
      <c r="G11" s="9"/>
      <c r="H11" s="11">
        <v>40000.0</v>
      </c>
    </row>
    <row r="12">
      <c r="A12" s="9"/>
      <c r="B12" s="9"/>
      <c r="C12" s="9"/>
      <c r="D12" s="9"/>
      <c r="E12" s="9" t="s">
        <v>8</v>
      </c>
      <c r="F12" s="9" t="s">
        <v>101</v>
      </c>
      <c r="G12" s="9"/>
      <c r="H12" s="11">
        <v>70000.0</v>
      </c>
    </row>
    <row r="13">
      <c r="A13" s="9"/>
      <c r="B13" s="9"/>
      <c r="C13" s="9"/>
      <c r="D13" s="9"/>
      <c r="E13" s="9" t="s">
        <v>8</v>
      </c>
      <c r="F13" s="9" t="s">
        <v>105</v>
      </c>
      <c r="G13" s="9"/>
      <c r="H13" s="11">
        <v>45000.0</v>
      </c>
    </row>
    <row r="14">
      <c r="A14" s="9"/>
      <c r="B14" s="9"/>
      <c r="C14" s="9"/>
      <c r="D14" s="26">
        <v>670000.0</v>
      </c>
      <c r="E14" s="9"/>
      <c r="F14" s="9"/>
      <c r="G14" s="9"/>
      <c r="H14" s="26">
        <v>670000.0</v>
      </c>
    </row>
    <row r="15">
      <c r="A15" s="9"/>
      <c r="B15" s="9"/>
      <c r="C15" s="9"/>
      <c r="D15" s="9"/>
      <c r="E15" s="9" t="s">
        <v>114</v>
      </c>
      <c r="F15" s="9" t="s">
        <v>115</v>
      </c>
      <c r="G15" s="9"/>
      <c r="H15" s="11">
        <v>450000.0</v>
      </c>
    </row>
    <row r="16">
      <c r="A16" s="14"/>
      <c r="B16" s="14"/>
      <c r="C16" s="14"/>
      <c r="D16" s="14"/>
      <c r="E16" s="14"/>
      <c r="F16" s="14"/>
      <c r="G16" s="14"/>
      <c r="H16" s="14"/>
    </row>
    <row r="17">
      <c r="A17" s="14"/>
      <c r="B17" s="14"/>
      <c r="C17" s="14"/>
      <c r="D17" s="14"/>
      <c r="E17" s="14"/>
      <c r="F17" s="14"/>
      <c r="G17" s="14"/>
      <c r="H17" s="14"/>
    </row>
    <row r="18">
      <c r="A18" s="14"/>
      <c r="B18" s="14"/>
      <c r="C18" s="14"/>
      <c r="D18" s="15" t="s">
        <v>10</v>
      </c>
      <c r="E18" s="15"/>
      <c r="F18" s="14"/>
      <c r="G18" s="14"/>
      <c r="H18" s="14"/>
    </row>
    <row r="19">
      <c r="A19" s="16" t="s">
        <v>11</v>
      </c>
      <c r="B19" s="14"/>
      <c r="C19" s="14"/>
      <c r="D19" s="14"/>
      <c r="E19" s="14"/>
      <c r="F19" s="14"/>
      <c r="G19" s="14"/>
      <c r="H19" s="17" t="s">
        <v>50</v>
      </c>
    </row>
    <row r="20">
      <c r="A20" s="18" t="s">
        <v>54</v>
      </c>
      <c r="B20" s="19" t="s">
        <v>3</v>
      </c>
      <c r="C20" s="20" t="s">
        <v>62</v>
      </c>
      <c r="D20" s="19" t="s">
        <v>64</v>
      </c>
      <c r="E20" s="20" t="s">
        <v>54</v>
      </c>
      <c r="F20" s="19" t="s">
        <v>3</v>
      </c>
      <c r="G20" s="19" t="s">
        <v>62</v>
      </c>
      <c r="H20" s="32" t="s">
        <v>64</v>
      </c>
    </row>
    <row r="21" ht="15.75" customHeight="1">
      <c r="A21" s="7" t="s">
        <v>8</v>
      </c>
      <c r="B21" s="6" t="s">
        <v>142</v>
      </c>
      <c r="C21" s="6"/>
      <c r="D21" s="8">
        <v>45000.0</v>
      </c>
      <c r="E21" s="7" t="s">
        <v>47</v>
      </c>
      <c r="F21" s="6" t="s">
        <v>144</v>
      </c>
      <c r="G21" s="6"/>
      <c r="H21" s="8">
        <v>35000.0</v>
      </c>
    </row>
    <row r="22" ht="15.75" customHeight="1">
      <c r="A22" s="10" t="s">
        <v>61</v>
      </c>
      <c r="B22" s="9" t="s">
        <v>58</v>
      </c>
      <c r="C22" s="9"/>
      <c r="D22" s="11">
        <v>75000.0</v>
      </c>
      <c r="E22" s="10" t="s">
        <v>67</v>
      </c>
      <c r="F22" s="9" t="s">
        <v>151</v>
      </c>
      <c r="G22" s="9"/>
      <c r="H22" s="11">
        <v>4500.0</v>
      </c>
    </row>
    <row r="23" ht="15.75" customHeight="1">
      <c r="A23" s="10" t="s">
        <v>108</v>
      </c>
      <c r="B23" s="9" t="s">
        <v>85</v>
      </c>
      <c r="C23" s="9"/>
      <c r="D23" s="11">
        <v>210000.0</v>
      </c>
      <c r="E23" s="10" t="s">
        <v>71</v>
      </c>
      <c r="F23" s="9" t="s">
        <v>159</v>
      </c>
      <c r="G23" s="9"/>
      <c r="H23" s="11">
        <v>15000.0</v>
      </c>
    </row>
    <row r="24" ht="15.75" customHeight="1">
      <c r="A24" s="10" t="s">
        <v>161</v>
      </c>
      <c r="B24" s="9" t="s">
        <v>163</v>
      </c>
      <c r="C24" s="9"/>
      <c r="D24" s="11">
        <v>9000.0</v>
      </c>
      <c r="E24" s="10" t="s">
        <v>103</v>
      </c>
      <c r="F24" s="9" t="s">
        <v>172</v>
      </c>
      <c r="G24" s="9"/>
      <c r="H24" s="11">
        <v>22000.0</v>
      </c>
    </row>
    <row r="25" ht="15.75" customHeight="1">
      <c r="A25" s="10" t="s">
        <v>176</v>
      </c>
      <c r="B25" s="9" t="s">
        <v>94</v>
      </c>
      <c r="C25" s="9"/>
      <c r="D25" s="11">
        <v>20000.0</v>
      </c>
      <c r="E25" s="10" t="s">
        <v>138</v>
      </c>
      <c r="F25" s="9" t="s">
        <v>183</v>
      </c>
      <c r="G25" s="9"/>
      <c r="H25" s="11">
        <v>18000.0</v>
      </c>
    </row>
    <row r="26" ht="15.75" customHeight="1">
      <c r="A26" s="9"/>
      <c r="B26" s="9"/>
      <c r="C26" s="9"/>
      <c r="D26" s="9"/>
      <c r="E26" s="10" t="s">
        <v>184</v>
      </c>
      <c r="F26" s="9" t="s">
        <v>188</v>
      </c>
      <c r="G26" s="9"/>
      <c r="H26" s="11">
        <v>5500.0</v>
      </c>
    </row>
    <row r="27" ht="15.75" customHeight="1">
      <c r="A27" s="9"/>
      <c r="B27" s="9"/>
      <c r="C27" s="9"/>
      <c r="D27" s="9"/>
      <c r="E27" s="10" t="s">
        <v>190</v>
      </c>
      <c r="F27" s="9" t="s">
        <v>193</v>
      </c>
      <c r="G27" s="9"/>
      <c r="H27" s="11">
        <v>12000.0</v>
      </c>
    </row>
    <row r="28" ht="15.75" customHeight="1">
      <c r="A28" s="9"/>
      <c r="B28" s="9"/>
      <c r="C28" s="9"/>
      <c r="D28" s="9"/>
      <c r="E28" s="10" t="s">
        <v>195</v>
      </c>
      <c r="F28" s="9" t="s">
        <v>196</v>
      </c>
      <c r="G28" s="9"/>
      <c r="H28" s="11">
        <v>4000.0</v>
      </c>
    </row>
    <row r="29" ht="15.75" customHeight="1">
      <c r="A29" s="9"/>
      <c r="B29" s="9"/>
      <c r="C29" s="9"/>
      <c r="D29" s="9"/>
      <c r="E29" s="10" t="s">
        <v>198</v>
      </c>
      <c r="F29" s="9" t="s">
        <v>144</v>
      </c>
      <c r="G29" s="9"/>
      <c r="H29" s="11">
        <v>30000.0</v>
      </c>
    </row>
    <row r="30" ht="15.75" customHeight="1">
      <c r="A30" s="9"/>
      <c r="B30" s="9"/>
      <c r="C30" s="9"/>
      <c r="D30" s="9"/>
      <c r="E30" s="10" t="s">
        <v>202</v>
      </c>
      <c r="F30" s="9" t="s">
        <v>203</v>
      </c>
      <c r="G30" s="9"/>
      <c r="H30" s="11">
        <v>8500.0</v>
      </c>
    </row>
    <row r="31" ht="15.75" customHeight="1">
      <c r="A31" s="9"/>
      <c r="B31" s="9"/>
      <c r="C31" s="9"/>
      <c r="D31" s="9"/>
      <c r="E31" s="10" t="s">
        <v>205</v>
      </c>
      <c r="F31" s="9" t="s">
        <v>207</v>
      </c>
      <c r="G31" s="9"/>
      <c r="H31" s="11">
        <v>2500.0</v>
      </c>
    </row>
    <row r="32" ht="15.75" customHeight="1">
      <c r="A32" s="9"/>
      <c r="B32" s="9"/>
      <c r="C32" s="9"/>
      <c r="D32" s="9"/>
      <c r="E32" s="10" t="s">
        <v>209</v>
      </c>
      <c r="F32" s="9" t="s">
        <v>92</v>
      </c>
      <c r="G32" s="9"/>
      <c r="H32" s="11">
        <v>25000.0</v>
      </c>
    </row>
    <row r="33" ht="15.75" customHeight="1">
      <c r="A33" s="9"/>
      <c r="B33" s="9"/>
      <c r="C33" s="9"/>
      <c r="D33" s="9"/>
      <c r="E33" s="10" t="s">
        <v>212</v>
      </c>
      <c r="F33" s="9" t="s">
        <v>79</v>
      </c>
      <c r="G33" s="9"/>
      <c r="H33" s="11">
        <v>40000.0</v>
      </c>
    </row>
    <row r="34" ht="15.75" customHeight="1">
      <c r="A34" s="9"/>
      <c r="B34" s="9"/>
      <c r="C34" s="9"/>
      <c r="D34" s="9"/>
      <c r="E34" s="10" t="s">
        <v>87</v>
      </c>
      <c r="F34" s="9" t="s">
        <v>216</v>
      </c>
      <c r="G34" s="9"/>
      <c r="H34" s="11">
        <v>137000.0</v>
      </c>
    </row>
    <row r="35" ht="15.75" customHeight="1">
      <c r="A35" s="9"/>
      <c r="B35" s="9"/>
      <c r="C35" s="9"/>
      <c r="D35" s="26">
        <v>359000.0</v>
      </c>
      <c r="E35" s="9"/>
      <c r="F35" s="9"/>
      <c r="G35" s="9"/>
      <c r="H35" s="26">
        <v>359000.0</v>
      </c>
    </row>
    <row r="36" ht="15.75" customHeight="1">
      <c r="A36" s="10" t="s">
        <v>114</v>
      </c>
      <c r="B36" s="9" t="s">
        <v>142</v>
      </c>
      <c r="C36" s="9"/>
      <c r="D36" s="11">
        <v>137000.0</v>
      </c>
      <c r="E36" s="9"/>
      <c r="F36" s="9"/>
      <c r="G36" s="9"/>
      <c r="H36" s="9"/>
    </row>
    <row r="37" ht="15.75" customHeight="1">
      <c r="A37" s="14"/>
      <c r="B37" s="14"/>
      <c r="C37" s="14"/>
      <c r="D37" s="14"/>
      <c r="E37" s="14"/>
      <c r="F37" s="14"/>
      <c r="G37" s="14"/>
      <c r="H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</row>
    <row r="39" ht="15.75" customHeight="1">
      <c r="A39" s="14"/>
      <c r="B39" s="14"/>
      <c r="C39" s="14"/>
      <c r="D39" s="15" t="s">
        <v>228</v>
      </c>
      <c r="E39" s="15"/>
      <c r="F39" s="14"/>
      <c r="G39" s="14"/>
      <c r="H39" s="14"/>
    </row>
    <row r="40" ht="15.75" customHeight="1">
      <c r="A40" s="16" t="s">
        <v>11</v>
      </c>
      <c r="B40" s="14"/>
      <c r="C40" s="14"/>
      <c r="D40" s="14"/>
      <c r="E40" s="14"/>
      <c r="F40" s="14"/>
      <c r="G40" s="14"/>
      <c r="H40" s="17" t="s">
        <v>50</v>
      </c>
    </row>
    <row r="41" ht="15.75" customHeight="1">
      <c r="A41" s="18" t="s">
        <v>54</v>
      </c>
      <c r="B41" s="19" t="s">
        <v>3</v>
      </c>
      <c r="C41" s="20" t="s">
        <v>62</v>
      </c>
      <c r="D41" s="19" t="s">
        <v>64</v>
      </c>
      <c r="E41" s="20" t="s">
        <v>54</v>
      </c>
      <c r="F41" s="19" t="s">
        <v>3</v>
      </c>
      <c r="G41" s="19" t="s">
        <v>62</v>
      </c>
      <c r="H41" s="32" t="s">
        <v>64</v>
      </c>
    </row>
    <row r="42" ht="15.75" customHeight="1">
      <c r="A42" s="7" t="s">
        <v>8</v>
      </c>
      <c r="B42" s="6" t="s">
        <v>142</v>
      </c>
      <c r="C42" s="6"/>
      <c r="D42" s="6"/>
      <c r="E42" s="7" t="s">
        <v>90</v>
      </c>
      <c r="F42" s="6" t="s">
        <v>238</v>
      </c>
      <c r="G42" s="6"/>
      <c r="H42" s="8">
        <v>50000.0</v>
      </c>
    </row>
    <row r="43" ht="15.75" customHeight="1">
      <c r="A43" s="10" t="s">
        <v>167</v>
      </c>
      <c r="B43" s="9" t="s">
        <v>173</v>
      </c>
      <c r="C43" s="9"/>
      <c r="D43" s="9"/>
      <c r="E43" s="10" t="s">
        <v>124</v>
      </c>
      <c r="F43" s="9" t="s">
        <v>241</v>
      </c>
      <c r="G43" s="9"/>
      <c r="H43" s="11">
        <v>150000.0</v>
      </c>
    </row>
    <row r="44" ht="15.75" customHeight="1">
      <c r="A44" s="10" t="s">
        <v>236</v>
      </c>
      <c r="B44" s="9" t="s">
        <v>237</v>
      </c>
      <c r="C44" s="9"/>
      <c r="D44" s="9"/>
      <c r="E44" s="10" t="s">
        <v>176</v>
      </c>
      <c r="F44" s="9" t="s">
        <v>73</v>
      </c>
      <c r="G44" s="9"/>
      <c r="H44" s="11">
        <v>20000.0</v>
      </c>
    </row>
    <row r="45" ht="15.75" customHeight="1">
      <c r="A45" s="10" t="s">
        <v>212</v>
      </c>
      <c r="B45" s="9" t="s">
        <v>49</v>
      </c>
      <c r="C45" s="9"/>
      <c r="D45" s="9"/>
      <c r="E45" s="10" t="s">
        <v>220</v>
      </c>
      <c r="F45" s="9" t="s">
        <v>245</v>
      </c>
      <c r="G45" s="9"/>
      <c r="H45" s="11">
        <v>6000.0</v>
      </c>
    </row>
    <row r="46" ht="15.75" customHeight="1">
      <c r="A46" s="9"/>
      <c r="B46" s="9"/>
      <c r="C46" s="9"/>
      <c r="D46" s="9"/>
      <c r="E46" s="10" t="s">
        <v>247</v>
      </c>
      <c r="F46" s="9" t="s">
        <v>248</v>
      </c>
      <c r="G46" s="9"/>
      <c r="H46" s="11">
        <v>5000.0</v>
      </c>
    </row>
    <row r="47" ht="15.75" customHeight="1">
      <c r="A47" s="9"/>
      <c r="B47" s="9"/>
      <c r="C47" s="9"/>
      <c r="D47" s="9"/>
      <c r="E47" s="10" t="s">
        <v>87</v>
      </c>
      <c r="F47" s="9" t="s">
        <v>216</v>
      </c>
      <c r="G47" s="9"/>
      <c r="H47" s="11">
        <v>42000.0</v>
      </c>
    </row>
    <row r="48" ht="15.75" customHeight="1">
      <c r="A48" s="9"/>
      <c r="B48" s="9"/>
      <c r="C48" s="9"/>
      <c r="D48" s="26">
        <v>273000.0</v>
      </c>
      <c r="E48" s="9"/>
      <c r="F48" s="9"/>
      <c r="G48" s="9"/>
      <c r="H48" s="26">
        <v>273000.0</v>
      </c>
    </row>
    <row r="49" ht="15.75" customHeight="1">
      <c r="A49" s="9"/>
      <c r="B49" s="9"/>
      <c r="C49" s="9"/>
      <c r="D49" s="11">
        <v>42000.0</v>
      </c>
      <c r="E49" s="9"/>
      <c r="F49" s="9"/>
      <c r="G49" s="9"/>
      <c r="H49" s="9"/>
    </row>
    <row r="50" ht="15.75" customHeight="1">
      <c r="A50" s="14"/>
      <c r="B50" s="14"/>
      <c r="C50" s="14"/>
      <c r="D50" s="14"/>
      <c r="E50" s="14"/>
      <c r="F50" s="14"/>
      <c r="G50" s="14"/>
      <c r="H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</row>
    <row r="52" ht="15.75" customHeight="1">
      <c r="A52" s="14"/>
      <c r="B52" s="14"/>
      <c r="C52" s="14"/>
      <c r="D52" s="15" t="s">
        <v>255</v>
      </c>
      <c r="E52" s="15"/>
      <c r="F52" s="14"/>
      <c r="G52" s="14"/>
      <c r="H52" s="14"/>
    </row>
    <row r="53" ht="15.75" customHeight="1">
      <c r="A53" s="16" t="s">
        <v>11</v>
      </c>
      <c r="B53" s="14"/>
      <c r="C53" s="14"/>
      <c r="D53" s="14"/>
      <c r="E53" s="14"/>
      <c r="F53" s="14"/>
      <c r="G53" s="14"/>
      <c r="H53" s="17" t="s">
        <v>50</v>
      </c>
    </row>
    <row r="54" ht="15.75" customHeight="1">
      <c r="A54" s="18" t="s">
        <v>54</v>
      </c>
      <c r="B54" s="19" t="s">
        <v>3</v>
      </c>
      <c r="C54" s="20" t="s">
        <v>62</v>
      </c>
      <c r="D54" s="19" t="s">
        <v>64</v>
      </c>
      <c r="E54" s="20" t="s">
        <v>54</v>
      </c>
      <c r="F54" s="19" t="s">
        <v>3</v>
      </c>
      <c r="G54" s="19" t="s">
        <v>62</v>
      </c>
      <c r="H54" s="32" t="s">
        <v>64</v>
      </c>
    </row>
    <row r="55" ht="15.75" customHeight="1">
      <c r="A55" s="7" t="s">
        <v>8</v>
      </c>
      <c r="B55" s="6" t="s">
        <v>142</v>
      </c>
      <c r="C55" s="6"/>
      <c r="D55" s="40">
        <v>90000.0</v>
      </c>
      <c r="E55" s="7" t="s">
        <v>87</v>
      </c>
      <c r="F55" s="6" t="s">
        <v>216</v>
      </c>
      <c r="G55" s="6"/>
      <c r="H55" s="8">
        <v>90000.0</v>
      </c>
    </row>
    <row r="56" ht="15.75" customHeight="1">
      <c r="A56" s="10"/>
      <c r="B56" s="9"/>
      <c r="C56" s="9"/>
      <c r="D56" s="26">
        <v>90000.0</v>
      </c>
      <c r="E56" s="10"/>
      <c r="F56" s="9"/>
      <c r="G56" s="9"/>
      <c r="H56" s="26">
        <v>90000.0</v>
      </c>
    </row>
    <row r="57" ht="15.75" customHeight="1">
      <c r="A57" s="10" t="s">
        <v>114</v>
      </c>
      <c r="B57" s="9" t="s">
        <v>142</v>
      </c>
      <c r="C57" s="9"/>
      <c r="D57" s="11">
        <v>90000.0</v>
      </c>
      <c r="E57" s="10"/>
      <c r="F57" s="9"/>
      <c r="G57" s="9"/>
      <c r="H57" s="9"/>
    </row>
    <row r="58" ht="15.75" customHeight="1">
      <c r="A58" s="14"/>
      <c r="B58" s="14"/>
      <c r="C58" s="14"/>
      <c r="D58" s="14"/>
      <c r="E58" s="14"/>
      <c r="F58" s="14"/>
      <c r="G58" s="14"/>
      <c r="H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</row>
    <row r="60" ht="15.75" customHeight="1">
      <c r="A60" s="14"/>
      <c r="B60" s="14"/>
      <c r="C60" s="14"/>
      <c r="D60" s="15" t="s">
        <v>20</v>
      </c>
      <c r="E60" s="15"/>
      <c r="F60" s="14"/>
      <c r="G60" s="14"/>
      <c r="H60" s="14"/>
    </row>
    <row r="61" ht="15.75" customHeight="1">
      <c r="A61" s="16" t="s">
        <v>11</v>
      </c>
      <c r="B61" s="14"/>
      <c r="C61" s="14"/>
      <c r="D61" s="14"/>
      <c r="E61" s="14"/>
      <c r="F61" s="14"/>
      <c r="G61" s="14"/>
      <c r="H61" s="17" t="s">
        <v>50</v>
      </c>
    </row>
    <row r="62" ht="15.75" customHeight="1">
      <c r="A62" s="18" t="s">
        <v>54</v>
      </c>
      <c r="B62" s="19" t="s">
        <v>3</v>
      </c>
      <c r="C62" s="20" t="s">
        <v>62</v>
      </c>
      <c r="D62" s="19" t="s">
        <v>64</v>
      </c>
      <c r="E62" s="20" t="s">
        <v>54</v>
      </c>
      <c r="F62" s="19" t="s">
        <v>3</v>
      </c>
      <c r="G62" s="19" t="s">
        <v>62</v>
      </c>
      <c r="H62" s="32" t="s">
        <v>64</v>
      </c>
    </row>
    <row r="63" ht="15.75" customHeight="1">
      <c r="A63" s="7" t="s">
        <v>8</v>
      </c>
      <c r="B63" s="6" t="s">
        <v>142</v>
      </c>
      <c r="C63" s="6"/>
      <c r="D63" s="8">
        <v>60000.0</v>
      </c>
      <c r="E63" s="7" t="s">
        <v>87</v>
      </c>
      <c r="F63" s="6" t="s">
        <v>216</v>
      </c>
      <c r="G63" s="6"/>
      <c r="H63" s="8">
        <v>85000.0</v>
      </c>
    </row>
    <row r="64" ht="15.75" customHeight="1">
      <c r="A64" s="10" t="s">
        <v>209</v>
      </c>
      <c r="B64" s="9" t="s">
        <v>49</v>
      </c>
      <c r="C64" s="9"/>
      <c r="D64" s="11">
        <v>25000.0</v>
      </c>
      <c r="E64" s="10"/>
      <c r="F64" s="9"/>
      <c r="G64" s="9"/>
      <c r="H64" s="10"/>
    </row>
    <row r="65" ht="15.75" customHeight="1">
      <c r="A65" s="10"/>
      <c r="B65" s="9"/>
      <c r="C65" s="9"/>
      <c r="D65" s="26">
        <v>85000.0</v>
      </c>
      <c r="E65" s="10"/>
      <c r="F65" s="9"/>
      <c r="G65" s="9"/>
      <c r="H65" s="26">
        <v>85000.0</v>
      </c>
    </row>
    <row r="66" ht="15.75" customHeight="1">
      <c r="A66" s="10" t="s">
        <v>114</v>
      </c>
      <c r="B66" s="9" t="s">
        <v>142</v>
      </c>
      <c r="C66" s="9"/>
      <c r="D66" s="11">
        <v>85000.0</v>
      </c>
      <c r="E66" s="10"/>
      <c r="F66" s="9"/>
      <c r="G66" s="9"/>
      <c r="H66" s="10"/>
    </row>
    <row r="67" ht="15.75" customHeight="1">
      <c r="A67" s="14"/>
      <c r="B67" s="14"/>
      <c r="C67" s="14"/>
      <c r="D67" s="14"/>
      <c r="E67" s="14"/>
      <c r="F67" s="14"/>
      <c r="G67" s="14"/>
      <c r="H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</row>
    <row r="69" ht="15.75" customHeight="1">
      <c r="A69" s="14"/>
      <c r="B69" s="14"/>
      <c r="C69" s="14"/>
      <c r="D69" s="15" t="s">
        <v>21</v>
      </c>
      <c r="E69" s="15"/>
      <c r="F69" s="14"/>
      <c r="G69" s="14"/>
      <c r="H69" s="14"/>
    </row>
    <row r="70" ht="15.75" customHeight="1">
      <c r="A70" s="16" t="s">
        <v>11</v>
      </c>
      <c r="B70" s="14"/>
      <c r="C70" s="14"/>
      <c r="D70" s="14"/>
      <c r="E70" s="14"/>
      <c r="F70" s="14"/>
      <c r="G70" s="14"/>
      <c r="H70" s="17" t="s">
        <v>50</v>
      </c>
    </row>
    <row r="71" ht="15.75" customHeight="1">
      <c r="A71" s="18" t="s">
        <v>54</v>
      </c>
      <c r="B71" s="19" t="s">
        <v>3</v>
      </c>
      <c r="C71" s="20" t="s">
        <v>62</v>
      </c>
      <c r="D71" s="19" t="s">
        <v>64</v>
      </c>
      <c r="E71" s="20" t="s">
        <v>54</v>
      </c>
      <c r="F71" s="19" t="s">
        <v>3</v>
      </c>
      <c r="G71" s="19" t="s">
        <v>62</v>
      </c>
      <c r="H71" s="32" t="s">
        <v>64</v>
      </c>
    </row>
    <row r="72" ht="15.75" customHeight="1">
      <c r="A72" s="7" t="s">
        <v>8</v>
      </c>
      <c r="B72" s="6" t="s">
        <v>142</v>
      </c>
      <c r="C72" s="6"/>
      <c r="D72" s="8">
        <v>200000.0</v>
      </c>
      <c r="E72" s="7" t="s">
        <v>87</v>
      </c>
      <c r="F72" s="6" t="s">
        <v>216</v>
      </c>
      <c r="G72" s="6"/>
      <c r="H72" s="8">
        <v>200000.0</v>
      </c>
    </row>
    <row r="73" ht="15.75" customHeight="1">
      <c r="A73" s="10"/>
      <c r="B73" s="9"/>
      <c r="C73" s="9"/>
      <c r="D73" s="26">
        <v>200000.0</v>
      </c>
      <c r="E73" s="10"/>
      <c r="F73" s="9"/>
      <c r="G73" s="9"/>
      <c r="H73" s="26">
        <v>200000.0</v>
      </c>
    </row>
    <row r="74" ht="15.75" customHeight="1">
      <c r="A74" s="10" t="s">
        <v>114</v>
      </c>
      <c r="B74" s="9" t="s">
        <v>142</v>
      </c>
      <c r="C74" s="9"/>
      <c r="D74" s="11">
        <v>200000.0</v>
      </c>
      <c r="E74" s="10"/>
      <c r="F74" s="9"/>
      <c r="G74" s="9"/>
      <c r="H74" s="10"/>
    </row>
    <row r="75" ht="15.75" customHeight="1">
      <c r="A75" s="14"/>
      <c r="B75" s="14"/>
      <c r="C75" s="14"/>
      <c r="D75" s="14"/>
      <c r="E75" s="14"/>
      <c r="F75" s="14"/>
      <c r="G75" s="14"/>
      <c r="H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</row>
    <row r="77" ht="15.75" customHeight="1">
      <c r="A77" s="14"/>
      <c r="B77" s="14"/>
      <c r="C77" s="14"/>
      <c r="D77" s="15" t="s">
        <v>24</v>
      </c>
      <c r="E77" s="15"/>
      <c r="F77" s="14"/>
      <c r="G77" s="14"/>
      <c r="H77" s="14"/>
    </row>
    <row r="78" ht="15.75" customHeight="1">
      <c r="A78" s="16" t="s">
        <v>11</v>
      </c>
      <c r="B78" s="14"/>
      <c r="C78" s="14"/>
      <c r="D78" s="14"/>
      <c r="E78" s="14"/>
      <c r="F78" s="14"/>
      <c r="G78" s="14"/>
      <c r="H78" s="17" t="s">
        <v>50</v>
      </c>
    </row>
    <row r="79" ht="15.75" customHeight="1">
      <c r="A79" s="18" t="s">
        <v>54</v>
      </c>
      <c r="B79" s="19" t="s">
        <v>3</v>
      </c>
      <c r="C79" s="20" t="s">
        <v>62</v>
      </c>
      <c r="D79" s="19" t="s">
        <v>64</v>
      </c>
      <c r="E79" s="20" t="s">
        <v>54</v>
      </c>
      <c r="F79" s="19" t="s">
        <v>3</v>
      </c>
      <c r="G79" s="19" t="s">
        <v>62</v>
      </c>
      <c r="H79" s="32" t="s">
        <v>64</v>
      </c>
    </row>
    <row r="80" ht="15.75" customHeight="1">
      <c r="A80" s="10" t="s">
        <v>8</v>
      </c>
      <c r="B80" s="9" t="s">
        <v>142</v>
      </c>
      <c r="C80" s="9"/>
      <c r="D80" s="11">
        <v>40000.0</v>
      </c>
      <c r="E80" s="10" t="s">
        <v>87</v>
      </c>
      <c r="F80" s="9" t="s">
        <v>216</v>
      </c>
      <c r="G80" s="9"/>
      <c r="H80" s="11">
        <v>40000.0</v>
      </c>
    </row>
    <row r="81" ht="15.75" customHeight="1">
      <c r="A81" s="10"/>
      <c r="B81" s="9"/>
      <c r="C81" s="9"/>
      <c r="D81" s="26">
        <v>40000.0</v>
      </c>
      <c r="E81" s="10"/>
      <c r="F81" s="9"/>
      <c r="G81" s="9"/>
      <c r="H81" s="26">
        <v>40000.0</v>
      </c>
    </row>
    <row r="82" ht="15.75" customHeight="1">
      <c r="A82" s="10" t="s">
        <v>114</v>
      </c>
      <c r="B82" s="9" t="s">
        <v>142</v>
      </c>
      <c r="C82" s="9"/>
      <c r="D82" s="11">
        <v>40000.0</v>
      </c>
      <c r="E82" s="10"/>
      <c r="F82" s="9"/>
      <c r="G82" s="9"/>
      <c r="H82" s="10"/>
    </row>
    <row r="83" ht="15.75" customHeight="1">
      <c r="A83" s="14"/>
      <c r="B83" s="14"/>
      <c r="C83" s="14"/>
      <c r="D83" s="14"/>
      <c r="E83" s="14"/>
      <c r="F83" s="14"/>
      <c r="G83" s="14"/>
      <c r="H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</row>
    <row r="85" ht="15.75" customHeight="1">
      <c r="A85" s="14"/>
      <c r="B85" s="14"/>
      <c r="C85" s="14"/>
      <c r="D85" s="15" t="s">
        <v>26</v>
      </c>
      <c r="E85" s="15"/>
      <c r="F85" s="14"/>
      <c r="G85" s="14"/>
      <c r="H85" s="14"/>
    </row>
    <row r="86" ht="15.75" customHeight="1">
      <c r="A86" s="16" t="s">
        <v>11</v>
      </c>
      <c r="B86" s="14"/>
      <c r="C86" s="14"/>
      <c r="D86" s="14"/>
      <c r="E86" s="14"/>
      <c r="F86" s="14"/>
      <c r="G86" s="14"/>
      <c r="H86" s="17" t="s">
        <v>50</v>
      </c>
    </row>
    <row r="87" ht="15.75" customHeight="1">
      <c r="A87" s="18" t="s">
        <v>54</v>
      </c>
      <c r="B87" s="19" t="s">
        <v>3</v>
      </c>
      <c r="C87" s="20" t="s">
        <v>62</v>
      </c>
      <c r="D87" s="19" t="s">
        <v>64</v>
      </c>
      <c r="E87" s="20" t="s">
        <v>54</v>
      </c>
      <c r="F87" s="19" t="s">
        <v>3</v>
      </c>
      <c r="G87" s="19" t="s">
        <v>62</v>
      </c>
      <c r="H87" s="32" t="s">
        <v>64</v>
      </c>
    </row>
    <row r="88" ht="15.75" customHeight="1">
      <c r="A88" s="7" t="s">
        <v>8</v>
      </c>
      <c r="B88" s="6" t="s">
        <v>142</v>
      </c>
      <c r="C88" s="6"/>
      <c r="D88" s="8">
        <v>70000.0</v>
      </c>
      <c r="E88" s="7" t="s">
        <v>81</v>
      </c>
      <c r="F88" s="6" t="s">
        <v>260</v>
      </c>
      <c r="G88" s="6"/>
      <c r="H88" s="8">
        <v>10000.0</v>
      </c>
    </row>
    <row r="89" ht="15.75" customHeight="1">
      <c r="A89" s="10" t="s">
        <v>55</v>
      </c>
      <c r="B89" s="9" t="s">
        <v>58</v>
      </c>
      <c r="C89" s="9"/>
      <c r="D89" s="11">
        <v>160000.0</v>
      </c>
      <c r="E89" s="10" t="s">
        <v>108</v>
      </c>
      <c r="F89" s="9" t="s">
        <v>261</v>
      </c>
      <c r="G89" s="9"/>
      <c r="H89" s="11">
        <v>210000.0</v>
      </c>
    </row>
    <row r="90" ht="15.75" customHeight="1">
      <c r="A90" s="10"/>
      <c r="B90" s="9"/>
      <c r="C90" s="9"/>
      <c r="D90" s="10"/>
      <c r="E90" s="10" t="s">
        <v>108</v>
      </c>
      <c r="F90" s="9" t="s">
        <v>262</v>
      </c>
      <c r="G90" s="9"/>
      <c r="H90" s="11">
        <v>6000.0</v>
      </c>
    </row>
    <row r="91" ht="15.75" customHeight="1">
      <c r="A91" s="10"/>
      <c r="B91" s="9"/>
      <c r="C91" s="9"/>
      <c r="D91" s="10"/>
      <c r="E91" s="10" t="s">
        <v>87</v>
      </c>
      <c r="F91" s="9" t="s">
        <v>216</v>
      </c>
      <c r="G91" s="9"/>
      <c r="H91" s="11">
        <v>4000.0</v>
      </c>
    </row>
    <row r="92" ht="15.75" customHeight="1">
      <c r="A92" s="10"/>
      <c r="B92" s="9"/>
      <c r="C92" s="9"/>
      <c r="D92" s="26">
        <v>230000.0</v>
      </c>
      <c r="E92" s="10"/>
      <c r="F92" s="9"/>
      <c r="G92" s="9"/>
      <c r="H92" s="26">
        <v>230000.0</v>
      </c>
    </row>
    <row r="93" ht="15.75" customHeight="1">
      <c r="A93" s="10" t="s">
        <v>114</v>
      </c>
      <c r="B93" s="9" t="s">
        <v>142</v>
      </c>
      <c r="C93" s="9"/>
      <c r="D93" s="11">
        <v>4000.0</v>
      </c>
      <c r="E93" s="9"/>
      <c r="F93" s="9"/>
      <c r="G93" s="9"/>
      <c r="H93" s="9"/>
    </row>
    <row r="94" ht="15.75" customHeight="1">
      <c r="A94" s="14"/>
      <c r="B94" s="14"/>
      <c r="C94" s="14"/>
      <c r="D94" s="14"/>
      <c r="E94" s="14"/>
      <c r="F94" s="14"/>
      <c r="G94" s="14"/>
      <c r="H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</row>
    <row r="96" ht="15.75" customHeight="1">
      <c r="A96" s="14"/>
      <c r="B96" s="14"/>
      <c r="C96" s="14"/>
      <c r="D96" s="15" t="s">
        <v>27</v>
      </c>
      <c r="E96" s="15"/>
      <c r="F96" s="14"/>
      <c r="G96" s="14"/>
      <c r="H96" s="14"/>
    </row>
    <row r="97" ht="15.75" customHeight="1">
      <c r="A97" s="16" t="s">
        <v>11</v>
      </c>
      <c r="B97" s="14"/>
      <c r="C97" s="14"/>
      <c r="D97" s="14"/>
      <c r="E97" s="14"/>
      <c r="F97" s="14"/>
      <c r="G97" s="14"/>
      <c r="H97" s="17" t="s">
        <v>50</v>
      </c>
    </row>
    <row r="98" ht="15.75" customHeight="1">
      <c r="A98" s="18" t="s">
        <v>54</v>
      </c>
      <c r="B98" s="19" t="s">
        <v>3</v>
      </c>
      <c r="C98" s="20" t="s">
        <v>62</v>
      </c>
      <c r="D98" s="19" t="s">
        <v>64</v>
      </c>
      <c r="E98" s="20" t="s">
        <v>54</v>
      </c>
      <c r="F98" s="19" t="s">
        <v>3</v>
      </c>
      <c r="G98" s="19" t="s">
        <v>62</v>
      </c>
      <c r="H98" s="32" t="s">
        <v>64</v>
      </c>
    </row>
    <row r="99" ht="15.75" customHeight="1">
      <c r="A99" s="10" t="s">
        <v>8</v>
      </c>
      <c r="B99" s="9" t="s">
        <v>142</v>
      </c>
      <c r="C99" s="9"/>
      <c r="D99" s="11">
        <v>45000.0</v>
      </c>
      <c r="E99" s="10" t="s">
        <v>167</v>
      </c>
      <c r="F99" s="9" t="s">
        <v>79</v>
      </c>
      <c r="G99" s="9"/>
      <c r="H99" s="11">
        <v>110000.0</v>
      </c>
    </row>
    <row r="100" ht="15.75" customHeight="1">
      <c r="A100" s="10" t="s">
        <v>158</v>
      </c>
      <c r="B100" s="9" t="s">
        <v>58</v>
      </c>
      <c r="C100" s="9"/>
      <c r="D100" s="11">
        <v>120000.0</v>
      </c>
      <c r="E100" s="10" t="s">
        <v>87</v>
      </c>
      <c r="F100" s="9" t="s">
        <v>216</v>
      </c>
      <c r="G100" s="9"/>
      <c r="H100" s="11">
        <v>55000.0</v>
      </c>
    </row>
    <row r="101" ht="15.75" customHeight="1">
      <c r="A101" s="10"/>
      <c r="B101" s="9"/>
      <c r="C101" s="9"/>
      <c r="D101" s="26">
        <v>165000.0</v>
      </c>
      <c r="E101" s="10"/>
      <c r="F101" s="9"/>
      <c r="G101" s="9"/>
      <c r="H101" s="26">
        <v>165000.0</v>
      </c>
    </row>
    <row r="102" ht="15.75" customHeight="1">
      <c r="A102" s="10" t="s">
        <v>87</v>
      </c>
      <c r="B102" s="9" t="s">
        <v>142</v>
      </c>
      <c r="C102" s="9"/>
      <c r="D102" s="11">
        <v>55000.0</v>
      </c>
      <c r="E102" s="10"/>
      <c r="F102" s="9"/>
      <c r="G102" s="9"/>
      <c r="H102" s="10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</row>
    <row r="105" ht="15.75" customHeight="1">
      <c r="A105" s="14"/>
      <c r="B105" s="14"/>
      <c r="C105" s="14"/>
      <c r="D105" s="15" t="s">
        <v>226</v>
      </c>
      <c r="E105" s="15"/>
      <c r="F105" s="14"/>
      <c r="G105" s="14"/>
      <c r="H105" s="14"/>
    </row>
    <row r="106" ht="15.75" customHeight="1">
      <c r="A106" s="16" t="s">
        <v>11</v>
      </c>
      <c r="B106" s="14"/>
      <c r="C106" s="14"/>
      <c r="D106" s="14"/>
      <c r="E106" s="14"/>
      <c r="F106" s="14"/>
      <c r="G106" s="14"/>
      <c r="H106" s="17" t="s">
        <v>50</v>
      </c>
    </row>
    <row r="107" ht="15.75" customHeight="1">
      <c r="A107" s="18" t="s">
        <v>54</v>
      </c>
      <c r="B107" s="19" t="s">
        <v>3</v>
      </c>
      <c r="C107" s="20" t="s">
        <v>62</v>
      </c>
      <c r="D107" s="19" t="s">
        <v>64</v>
      </c>
      <c r="E107" s="20" t="s">
        <v>54</v>
      </c>
      <c r="F107" s="19" t="s">
        <v>3</v>
      </c>
      <c r="G107" s="19" t="s">
        <v>62</v>
      </c>
      <c r="H107" s="32" t="s">
        <v>64</v>
      </c>
    </row>
    <row r="108" ht="15.75" customHeight="1">
      <c r="A108" s="10" t="s">
        <v>87</v>
      </c>
      <c r="B108" s="9" t="s">
        <v>89</v>
      </c>
      <c r="C108" s="9"/>
      <c r="D108" s="11">
        <v>100000.0</v>
      </c>
      <c r="E108" s="10" t="s">
        <v>8</v>
      </c>
      <c r="F108" s="9" t="s">
        <v>115</v>
      </c>
      <c r="G108" s="9"/>
      <c r="H108" s="11">
        <v>100000.0</v>
      </c>
    </row>
    <row r="109" ht="15.75" customHeight="1">
      <c r="A109" s="10"/>
      <c r="B109" s="9"/>
      <c r="C109" s="9"/>
      <c r="D109" s="26">
        <v>100000.0</v>
      </c>
      <c r="E109" s="10"/>
      <c r="F109" s="9"/>
      <c r="G109" s="9"/>
      <c r="H109" s="26">
        <v>100000.0</v>
      </c>
    </row>
    <row r="110" ht="15.75" customHeight="1">
      <c r="A110" s="10"/>
      <c r="B110" s="9"/>
      <c r="C110" s="9"/>
      <c r="D110" s="10"/>
      <c r="E110" s="10" t="s">
        <v>114</v>
      </c>
      <c r="F110" s="9" t="s">
        <v>115</v>
      </c>
      <c r="G110" s="9"/>
      <c r="H110" s="11">
        <v>100000.0</v>
      </c>
    </row>
    <row r="111" ht="15.75" customHeight="1">
      <c r="A111" s="14"/>
      <c r="B111" s="14"/>
      <c r="C111" s="14"/>
      <c r="D111" s="14"/>
      <c r="E111" s="14"/>
      <c r="F111" s="14"/>
      <c r="G111" s="14"/>
      <c r="H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</row>
    <row r="113" ht="15.75" customHeight="1">
      <c r="A113" s="14"/>
      <c r="B113" s="14"/>
      <c r="C113" s="14"/>
      <c r="D113" s="15" t="s">
        <v>76</v>
      </c>
      <c r="E113" s="15"/>
      <c r="F113" s="14"/>
      <c r="G113" s="14"/>
      <c r="H113" s="14"/>
    </row>
    <row r="114" ht="15.75" customHeight="1">
      <c r="A114" s="16" t="s">
        <v>11</v>
      </c>
      <c r="B114" s="14"/>
      <c r="C114" s="14"/>
      <c r="D114" s="14"/>
      <c r="E114" s="14"/>
      <c r="F114" s="14"/>
      <c r="G114" s="14"/>
      <c r="H114" s="17" t="s">
        <v>50</v>
      </c>
    </row>
    <row r="115" ht="15.75" customHeight="1">
      <c r="A115" s="18" t="s">
        <v>54</v>
      </c>
      <c r="B115" s="19" t="s">
        <v>3</v>
      </c>
      <c r="C115" s="20" t="s">
        <v>62</v>
      </c>
      <c r="D115" s="19" t="s">
        <v>64</v>
      </c>
      <c r="E115" s="20" t="s">
        <v>54</v>
      </c>
      <c r="F115" s="19" t="s">
        <v>3</v>
      </c>
      <c r="G115" s="19" t="s">
        <v>62</v>
      </c>
      <c r="H115" s="32" t="s">
        <v>64</v>
      </c>
    </row>
    <row r="116" ht="15.75" customHeight="1">
      <c r="A116" s="10" t="s">
        <v>75</v>
      </c>
      <c r="B116" s="9" t="s">
        <v>263</v>
      </c>
      <c r="C116" s="9"/>
      <c r="D116" s="11">
        <v>12000.0</v>
      </c>
      <c r="E116" s="10" t="s">
        <v>8</v>
      </c>
      <c r="F116" s="9" t="s">
        <v>115</v>
      </c>
      <c r="G116" s="9"/>
      <c r="H116" s="11">
        <v>80000.0</v>
      </c>
    </row>
    <row r="117" ht="15.75" customHeight="1">
      <c r="A117" s="10" t="s">
        <v>124</v>
      </c>
      <c r="B117" s="9" t="s">
        <v>94</v>
      </c>
      <c r="C117" s="9"/>
      <c r="D117" s="11">
        <v>150000.0</v>
      </c>
      <c r="E117" s="10" t="s">
        <v>39</v>
      </c>
      <c r="F117" s="9" t="s">
        <v>144</v>
      </c>
      <c r="G117" s="9"/>
      <c r="H117" s="11">
        <v>110000.0</v>
      </c>
    </row>
    <row r="118" ht="15.75" customHeight="1">
      <c r="A118" s="10" t="s">
        <v>124</v>
      </c>
      <c r="B118" s="9" t="s">
        <v>132</v>
      </c>
      <c r="C118" s="9"/>
      <c r="D118" s="11">
        <v>7000.0</v>
      </c>
      <c r="E118" s="10"/>
      <c r="F118" s="9"/>
      <c r="G118" s="9"/>
      <c r="H118" s="11"/>
    </row>
    <row r="119" ht="15.75" customHeight="1">
      <c r="A119" s="10" t="s">
        <v>87</v>
      </c>
      <c r="B119" s="9" t="s">
        <v>89</v>
      </c>
      <c r="C119" s="9"/>
      <c r="D119" s="11">
        <v>21000.0</v>
      </c>
      <c r="E119" s="10"/>
      <c r="F119" s="9"/>
      <c r="G119" s="9"/>
      <c r="H119" s="10"/>
    </row>
    <row r="120" ht="15.75" customHeight="1">
      <c r="A120" s="10"/>
      <c r="B120" s="9"/>
      <c r="C120" s="9"/>
      <c r="D120" s="26">
        <v>190000.0</v>
      </c>
      <c r="E120" s="10"/>
      <c r="F120" s="9"/>
      <c r="G120" s="9"/>
      <c r="H120" s="26">
        <v>190000.0</v>
      </c>
    </row>
    <row r="121" ht="15.75" customHeight="1">
      <c r="A121" s="10"/>
      <c r="B121" s="9"/>
      <c r="C121" s="9"/>
      <c r="D121" s="11"/>
      <c r="E121" s="10" t="s">
        <v>114</v>
      </c>
      <c r="F121" s="9" t="s">
        <v>115</v>
      </c>
      <c r="G121" s="9"/>
      <c r="H121" s="11">
        <v>21000.0</v>
      </c>
    </row>
    <row r="122" ht="15.75" customHeight="1">
      <c r="A122" s="14"/>
      <c r="B122" s="14"/>
      <c r="C122" s="14"/>
      <c r="D122" s="14"/>
      <c r="E122" s="14"/>
      <c r="F122" s="14"/>
      <c r="G122" s="14"/>
      <c r="H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</row>
    <row r="124" ht="15.75" customHeight="1">
      <c r="A124" s="14"/>
      <c r="B124" s="14"/>
      <c r="C124" s="14"/>
      <c r="D124" s="15" t="s">
        <v>157</v>
      </c>
      <c r="E124" s="15"/>
      <c r="F124" s="14"/>
      <c r="G124" s="14"/>
      <c r="H124" s="14"/>
    </row>
    <row r="125" ht="15.75" customHeight="1">
      <c r="A125" s="16" t="s">
        <v>11</v>
      </c>
      <c r="B125" s="14"/>
      <c r="C125" s="14"/>
      <c r="D125" s="14"/>
      <c r="E125" s="14"/>
      <c r="F125" s="14"/>
      <c r="G125" s="14"/>
      <c r="H125" s="17" t="s">
        <v>50</v>
      </c>
    </row>
    <row r="126" ht="15.75" customHeight="1">
      <c r="A126" s="18" t="s">
        <v>54</v>
      </c>
      <c r="B126" s="19" t="s">
        <v>3</v>
      </c>
      <c r="C126" s="20" t="s">
        <v>62</v>
      </c>
      <c r="D126" s="19" t="s">
        <v>64</v>
      </c>
      <c r="E126" s="20" t="s">
        <v>54</v>
      </c>
      <c r="F126" s="19" t="s">
        <v>3</v>
      </c>
      <c r="G126" s="19" t="s">
        <v>62</v>
      </c>
      <c r="H126" s="32" t="s">
        <v>64</v>
      </c>
    </row>
    <row r="127" ht="15.75" customHeight="1">
      <c r="A127" s="7" t="s">
        <v>87</v>
      </c>
      <c r="B127" s="6" t="s">
        <v>264</v>
      </c>
      <c r="C127" s="6"/>
      <c r="D127" s="8">
        <v>125000.0</v>
      </c>
      <c r="E127" s="7" t="s">
        <v>8</v>
      </c>
      <c r="F127" s="6" t="s">
        <v>265</v>
      </c>
      <c r="G127" s="6"/>
      <c r="H127" s="8">
        <v>40000.0</v>
      </c>
    </row>
    <row r="128" ht="15.75" customHeight="1">
      <c r="A128" s="10"/>
      <c r="B128" s="9"/>
      <c r="C128" s="9"/>
      <c r="D128" s="11"/>
      <c r="E128" s="10" t="s">
        <v>148</v>
      </c>
      <c r="F128" s="9" t="s">
        <v>144</v>
      </c>
      <c r="G128" s="9"/>
      <c r="H128" s="11">
        <v>85000.0</v>
      </c>
    </row>
    <row r="129" ht="15.75" customHeight="1">
      <c r="A129" s="10"/>
      <c r="B129" s="9"/>
      <c r="C129" s="9"/>
      <c r="D129" s="26">
        <v>125000.0</v>
      </c>
      <c r="E129" s="10"/>
      <c r="F129" s="9"/>
      <c r="G129" s="9"/>
      <c r="H129" s="26">
        <v>125000.0</v>
      </c>
    </row>
    <row r="130" ht="15.75" customHeight="1">
      <c r="A130" s="10"/>
      <c r="B130" s="9"/>
      <c r="C130" s="9"/>
      <c r="D130" s="10"/>
      <c r="E130" s="10" t="s">
        <v>266</v>
      </c>
      <c r="F130" s="9" t="s">
        <v>115</v>
      </c>
      <c r="G130" s="9"/>
      <c r="H130" s="11">
        <v>125000.0</v>
      </c>
    </row>
    <row r="131" ht="15.75" customHeight="1">
      <c r="A131" s="14"/>
      <c r="B131" s="14"/>
      <c r="C131" s="14"/>
      <c r="D131" s="14"/>
      <c r="E131" s="14"/>
      <c r="F131" s="14"/>
      <c r="G131" s="14"/>
      <c r="H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</row>
    <row r="133" ht="15.75" customHeight="1">
      <c r="A133" s="14"/>
      <c r="B133" s="14"/>
      <c r="C133" s="14"/>
      <c r="D133" s="15" t="s">
        <v>40</v>
      </c>
      <c r="E133" s="15"/>
      <c r="F133" s="14"/>
      <c r="G133" s="14"/>
      <c r="H133" s="14"/>
    </row>
    <row r="134" ht="15.75" customHeight="1">
      <c r="A134" s="16" t="s">
        <v>11</v>
      </c>
      <c r="B134" s="14"/>
      <c r="C134" s="14"/>
      <c r="D134" s="14"/>
      <c r="E134" s="14"/>
      <c r="F134" s="14"/>
      <c r="G134" s="14"/>
      <c r="H134" s="17" t="s">
        <v>50</v>
      </c>
    </row>
    <row r="135" ht="15.75" customHeight="1">
      <c r="A135" s="18" t="s">
        <v>54</v>
      </c>
      <c r="B135" s="19" t="s">
        <v>3</v>
      </c>
      <c r="C135" s="20" t="s">
        <v>62</v>
      </c>
      <c r="D135" s="19" t="s">
        <v>64</v>
      </c>
      <c r="E135" s="20" t="s">
        <v>54</v>
      </c>
      <c r="F135" s="19" t="s">
        <v>3</v>
      </c>
      <c r="G135" s="19" t="s">
        <v>62</v>
      </c>
      <c r="H135" s="32" t="s">
        <v>64</v>
      </c>
    </row>
    <row r="136" ht="15.75" customHeight="1">
      <c r="A136" s="10" t="s">
        <v>39</v>
      </c>
      <c r="B136" s="9" t="s">
        <v>34</v>
      </c>
      <c r="C136" s="9"/>
      <c r="D136" s="11">
        <v>110000.0</v>
      </c>
      <c r="E136" s="10" t="s">
        <v>87</v>
      </c>
      <c r="F136" s="9" t="s">
        <v>216</v>
      </c>
      <c r="G136" s="9"/>
      <c r="H136" s="11">
        <v>260000.0</v>
      </c>
    </row>
    <row r="137" ht="15.75" customHeight="1">
      <c r="A137" s="10" t="s">
        <v>47</v>
      </c>
      <c r="B137" s="9" t="s">
        <v>49</v>
      </c>
      <c r="C137" s="9"/>
      <c r="D137" s="11">
        <v>35000.0</v>
      </c>
      <c r="E137" s="10"/>
      <c r="F137" s="9"/>
      <c r="G137" s="9"/>
      <c r="H137" s="10"/>
    </row>
    <row r="138" ht="15.75" customHeight="1">
      <c r="A138" s="10" t="s">
        <v>148</v>
      </c>
      <c r="B138" s="9" t="s">
        <v>35</v>
      </c>
      <c r="C138" s="9"/>
      <c r="D138" s="11">
        <v>85000.0</v>
      </c>
      <c r="E138" s="10"/>
      <c r="F138" s="9"/>
      <c r="G138" s="9"/>
      <c r="H138" s="10"/>
    </row>
    <row r="139" ht="15.75" customHeight="1">
      <c r="A139" s="10" t="s">
        <v>198</v>
      </c>
      <c r="B139" s="9" t="s">
        <v>49</v>
      </c>
      <c r="C139" s="9"/>
      <c r="D139" s="11">
        <v>30000.0</v>
      </c>
      <c r="E139" s="10"/>
      <c r="F139" s="9"/>
      <c r="G139" s="9"/>
      <c r="H139" s="10"/>
    </row>
    <row r="140" ht="15.75" customHeight="1">
      <c r="A140" s="10"/>
      <c r="B140" s="9"/>
      <c r="C140" s="9"/>
      <c r="D140" s="26">
        <v>260000.0</v>
      </c>
      <c r="E140" s="10"/>
      <c r="F140" s="9"/>
      <c r="G140" s="9"/>
      <c r="H140" s="26">
        <v>260000.0</v>
      </c>
    </row>
    <row r="141" ht="15.75" customHeight="1">
      <c r="A141" s="10" t="s">
        <v>114</v>
      </c>
      <c r="B141" s="9" t="s">
        <v>142</v>
      </c>
      <c r="C141" s="9"/>
      <c r="D141" s="11">
        <v>260000.0</v>
      </c>
      <c r="E141" s="10"/>
      <c r="F141" s="9"/>
      <c r="G141" s="9"/>
      <c r="H141" s="10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</row>
    <row r="144" ht="15.75" customHeight="1">
      <c r="A144" s="14"/>
      <c r="B144" s="14"/>
      <c r="C144" s="14"/>
      <c r="D144" s="15" t="s">
        <v>133</v>
      </c>
      <c r="E144" s="15"/>
      <c r="F144" s="14"/>
      <c r="G144" s="14"/>
      <c r="H144" s="14"/>
    </row>
    <row r="145" ht="15.75" customHeight="1">
      <c r="A145" s="16" t="s">
        <v>11</v>
      </c>
      <c r="B145" s="14"/>
      <c r="C145" s="14"/>
      <c r="D145" s="14"/>
      <c r="E145" s="14"/>
      <c r="F145" s="14"/>
      <c r="G145" s="14"/>
      <c r="H145" s="17" t="s">
        <v>50</v>
      </c>
    </row>
    <row r="146" ht="15.75" customHeight="1">
      <c r="A146" s="18" t="s">
        <v>54</v>
      </c>
      <c r="B146" s="19" t="s">
        <v>3</v>
      </c>
      <c r="C146" s="20" t="s">
        <v>62</v>
      </c>
      <c r="D146" s="19" t="s">
        <v>64</v>
      </c>
      <c r="E146" s="20" t="s">
        <v>54</v>
      </c>
      <c r="F146" s="19" t="s">
        <v>3</v>
      </c>
      <c r="G146" s="19" t="s">
        <v>62</v>
      </c>
      <c r="H146" s="32" t="s">
        <v>64</v>
      </c>
    </row>
    <row r="147" ht="15.75" customHeight="1">
      <c r="A147" s="10" t="s">
        <v>87</v>
      </c>
      <c r="B147" s="9" t="s">
        <v>89</v>
      </c>
      <c r="C147" s="9"/>
      <c r="D147" s="11">
        <v>355000.0</v>
      </c>
      <c r="E147" s="10" t="s">
        <v>55</v>
      </c>
      <c r="F147" s="9" t="s">
        <v>101</v>
      </c>
      <c r="G147" s="9"/>
      <c r="H147" s="11">
        <v>160000.0</v>
      </c>
    </row>
    <row r="148" ht="15.75" customHeight="1">
      <c r="A148" s="10"/>
      <c r="B148" s="9"/>
      <c r="C148" s="9"/>
      <c r="D148" s="10"/>
      <c r="E148" s="10" t="s">
        <v>61</v>
      </c>
      <c r="F148" s="9" t="s">
        <v>73</v>
      </c>
      <c r="G148" s="9"/>
      <c r="H148" s="11">
        <v>75000.0</v>
      </c>
    </row>
    <row r="149" ht="15.75" customHeight="1">
      <c r="A149" s="10"/>
      <c r="B149" s="9"/>
      <c r="C149" s="9"/>
      <c r="D149" s="10"/>
      <c r="E149" s="10" t="s">
        <v>158</v>
      </c>
      <c r="F149" s="9" t="s">
        <v>105</v>
      </c>
      <c r="G149" s="9"/>
      <c r="H149" s="11">
        <v>120000.0</v>
      </c>
    </row>
    <row r="150" ht="15.75" customHeight="1">
      <c r="A150" s="10"/>
      <c r="B150" s="9"/>
      <c r="C150" s="9"/>
      <c r="D150" s="26">
        <v>355000.0</v>
      </c>
      <c r="E150" s="10"/>
      <c r="F150" s="9"/>
      <c r="G150" s="9"/>
      <c r="H150" s="26">
        <v>355000.0</v>
      </c>
    </row>
    <row r="151" ht="15.75" customHeight="1">
      <c r="A151" s="10"/>
      <c r="B151" s="9"/>
      <c r="C151" s="9"/>
      <c r="D151" s="10"/>
      <c r="E151" s="10" t="s">
        <v>114</v>
      </c>
      <c r="F151" s="9" t="s">
        <v>115</v>
      </c>
      <c r="G151" s="9"/>
      <c r="H151" s="11">
        <v>355000.0</v>
      </c>
    </row>
    <row r="152" ht="15.75" customHeight="1">
      <c r="A152" s="14"/>
      <c r="B152" s="14"/>
      <c r="C152" s="14"/>
      <c r="D152" s="14"/>
      <c r="E152" s="14"/>
      <c r="F152" s="14"/>
      <c r="G152" s="14"/>
      <c r="H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</row>
    <row r="154" ht="15.75" customHeight="1">
      <c r="A154" s="14"/>
      <c r="B154" s="14"/>
      <c r="C154" s="14"/>
      <c r="D154" s="15" t="s">
        <v>68</v>
      </c>
      <c r="E154" s="15"/>
      <c r="F154" s="14"/>
      <c r="G154" s="14"/>
      <c r="H154" s="14"/>
    </row>
    <row r="155" ht="15.75" customHeight="1">
      <c r="A155" s="16" t="s">
        <v>11</v>
      </c>
      <c r="B155" s="14"/>
      <c r="C155" s="14"/>
      <c r="D155" s="14"/>
      <c r="E155" s="14"/>
      <c r="F155" s="14"/>
      <c r="G155" s="14"/>
      <c r="H155" s="17" t="s">
        <v>50</v>
      </c>
    </row>
    <row r="156" ht="15.75" customHeight="1">
      <c r="A156" s="18" t="s">
        <v>54</v>
      </c>
      <c r="B156" s="19" t="s">
        <v>3</v>
      </c>
      <c r="C156" s="20" t="s">
        <v>62</v>
      </c>
      <c r="D156" s="19" t="s">
        <v>64</v>
      </c>
      <c r="E156" s="20" t="s">
        <v>54</v>
      </c>
      <c r="F156" s="19" t="s">
        <v>3</v>
      </c>
      <c r="G156" s="19" t="s">
        <v>62</v>
      </c>
      <c r="H156" s="32" t="s">
        <v>64</v>
      </c>
    </row>
    <row r="157" ht="15.75" customHeight="1">
      <c r="A157" s="10" t="s">
        <v>67</v>
      </c>
      <c r="B157" s="9" t="s">
        <v>49</v>
      </c>
      <c r="C157" s="9"/>
      <c r="D157" s="11">
        <v>4500.0</v>
      </c>
      <c r="E157" s="10" t="s">
        <v>87</v>
      </c>
      <c r="F157" s="9" t="s">
        <v>216</v>
      </c>
      <c r="G157" s="9"/>
      <c r="H157" s="11">
        <v>4500.0</v>
      </c>
    </row>
    <row r="158" ht="15.75" customHeight="1">
      <c r="A158" s="10"/>
      <c r="B158" s="9"/>
      <c r="C158" s="9"/>
      <c r="D158" s="26">
        <v>4500.0</v>
      </c>
      <c r="E158" s="10"/>
      <c r="F158" s="9"/>
      <c r="G158" s="9"/>
      <c r="H158" s="26">
        <v>4500.0</v>
      </c>
    </row>
    <row r="159" ht="15.75" customHeight="1">
      <c r="A159" s="10" t="s">
        <v>114</v>
      </c>
      <c r="B159" s="9" t="s">
        <v>142</v>
      </c>
      <c r="C159" s="9"/>
      <c r="D159" s="11">
        <v>4500.0</v>
      </c>
      <c r="E159" s="10"/>
      <c r="F159" s="9"/>
      <c r="G159" s="9"/>
      <c r="H159" s="10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</row>
    <row r="162" ht="15.75" customHeight="1">
      <c r="A162" s="14"/>
      <c r="B162" s="14"/>
      <c r="C162" s="14"/>
      <c r="D162" s="15" t="s">
        <v>72</v>
      </c>
      <c r="E162" s="15"/>
      <c r="F162" s="14"/>
      <c r="G162" s="14"/>
      <c r="H162" s="14"/>
    </row>
    <row r="163" ht="15.75" customHeight="1">
      <c r="A163" s="16" t="s">
        <v>11</v>
      </c>
      <c r="B163" s="14"/>
      <c r="C163" s="14"/>
      <c r="D163" s="14"/>
      <c r="E163" s="14"/>
      <c r="F163" s="14"/>
      <c r="G163" s="14"/>
      <c r="H163" s="17" t="s">
        <v>50</v>
      </c>
    </row>
    <row r="164" ht="15.75" customHeight="1">
      <c r="A164" s="18" t="s">
        <v>54</v>
      </c>
      <c r="B164" s="19" t="s">
        <v>3</v>
      </c>
      <c r="C164" s="20" t="s">
        <v>62</v>
      </c>
      <c r="D164" s="19" t="s">
        <v>64</v>
      </c>
      <c r="E164" s="20" t="s">
        <v>54</v>
      </c>
      <c r="F164" s="19" t="s">
        <v>3</v>
      </c>
      <c r="G164" s="19" t="s">
        <v>62</v>
      </c>
      <c r="H164" s="32" t="s">
        <v>64</v>
      </c>
    </row>
    <row r="165" ht="15.75" customHeight="1">
      <c r="A165" s="10" t="s">
        <v>71</v>
      </c>
      <c r="B165" s="9" t="s">
        <v>49</v>
      </c>
      <c r="C165" s="9"/>
      <c r="D165" s="11">
        <v>15000.0</v>
      </c>
      <c r="E165" s="10" t="s">
        <v>87</v>
      </c>
      <c r="F165" s="9" t="s">
        <v>216</v>
      </c>
      <c r="G165" s="9"/>
      <c r="H165" s="11">
        <v>15000.0</v>
      </c>
    </row>
    <row r="166" ht="15.75" customHeight="1">
      <c r="A166" s="10"/>
      <c r="B166" s="9"/>
      <c r="C166" s="9"/>
      <c r="D166" s="26">
        <v>15000.0</v>
      </c>
      <c r="E166" s="10"/>
      <c r="F166" s="9"/>
      <c r="G166" s="9"/>
      <c r="H166" s="26">
        <v>15000.0</v>
      </c>
    </row>
    <row r="167" ht="15.75" customHeight="1">
      <c r="A167" s="10" t="s">
        <v>114</v>
      </c>
      <c r="B167" s="9" t="s">
        <v>142</v>
      </c>
      <c r="C167" s="9"/>
      <c r="D167" s="11">
        <v>15000.0</v>
      </c>
      <c r="E167" s="10"/>
      <c r="F167" s="9"/>
      <c r="G167" s="9"/>
      <c r="H167" s="10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</row>
    <row r="170" ht="15.75" customHeight="1">
      <c r="A170" s="14"/>
      <c r="B170" s="14"/>
      <c r="C170" s="14"/>
      <c r="D170" s="15" t="s">
        <v>269</v>
      </c>
      <c r="E170" s="15"/>
      <c r="F170" s="14"/>
      <c r="G170" s="14"/>
      <c r="H170" s="14"/>
    </row>
    <row r="171" ht="15.75" customHeight="1">
      <c r="A171" s="16" t="s">
        <v>11</v>
      </c>
      <c r="B171" s="14"/>
      <c r="C171" s="14"/>
      <c r="D171" s="14"/>
      <c r="E171" s="14"/>
      <c r="F171" s="14"/>
      <c r="G171" s="14"/>
      <c r="H171" s="17" t="s">
        <v>50</v>
      </c>
    </row>
    <row r="172" ht="15.75" customHeight="1">
      <c r="A172" s="18" t="s">
        <v>54</v>
      </c>
      <c r="B172" s="19" t="s">
        <v>3</v>
      </c>
      <c r="C172" s="20" t="s">
        <v>62</v>
      </c>
      <c r="D172" s="19" t="s">
        <v>64</v>
      </c>
      <c r="E172" s="20" t="s">
        <v>54</v>
      </c>
      <c r="F172" s="19" t="s">
        <v>3</v>
      </c>
      <c r="G172" s="19" t="s">
        <v>62</v>
      </c>
      <c r="H172" s="32" t="s">
        <v>64</v>
      </c>
    </row>
    <row r="173" ht="15.75" customHeight="1">
      <c r="A173" s="10" t="s">
        <v>87</v>
      </c>
      <c r="B173" s="9" t="s">
        <v>89</v>
      </c>
      <c r="C173" s="9"/>
      <c r="D173" s="11">
        <v>12000.0</v>
      </c>
      <c r="E173" s="10" t="s">
        <v>75</v>
      </c>
      <c r="F173" s="9" t="s">
        <v>241</v>
      </c>
      <c r="G173" s="9"/>
      <c r="H173" s="11">
        <v>12000.0</v>
      </c>
    </row>
    <row r="174" ht="15.75" customHeight="1">
      <c r="A174" s="10"/>
      <c r="B174" s="9"/>
      <c r="C174" s="9"/>
      <c r="D174" s="26">
        <v>12000.0</v>
      </c>
      <c r="E174" s="10"/>
      <c r="F174" s="9"/>
      <c r="G174" s="9"/>
      <c r="H174" s="26">
        <v>12000.0</v>
      </c>
    </row>
    <row r="175" ht="15.75" customHeight="1">
      <c r="A175" s="10"/>
      <c r="B175" s="9"/>
      <c r="C175" s="9"/>
      <c r="D175" s="10"/>
      <c r="E175" s="10" t="s">
        <v>114</v>
      </c>
      <c r="F175" s="9" t="s">
        <v>115</v>
      </c>
      <c r="G175" s="9"/>
      <c r="H175" s="11">
        <v>12000.0</v>
      </c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2"/>
      <c r="J176" s="2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2"/>
      <c r="J177" s="2"/>
    </row>
    <row r="178" ht="15.75" customHeight="1">
      <c r="A178" s="14"/>
      <c r="B178" s="14"/>
      <c r="C178" s="14"/>
      <c r="D178" s="15" t="s">
        <v>82</v>
      </c>
      <c r="E178" s="15"/>
      <c r="F178" s="14"/>
      <c r="G178" s="14"/>
      <c r="H178" s="14"/>
      <c r="I178" s="2"/>
      <c r="J178" s="2"/>
    </row>
    <row r="179" ht="15.75" customHeight="1">
      <c r="A179" s="16" t="s">
        <v>11</v>
      </c>
      <c r="B179" s="14"/>
      <c r="C179" s="14"/>
      <c r="D179" s="14"/>
      <c r="E179" s="14"/>
      <c r="F179" s="14"/>
      <c r="G179" s="14"/>
      <c r="H179" s="17" t="s">
        <v>50</v>
      </c>
      <c r="I179" s="2"/>
      <c r="J179" s="2"/>
    </row>
    <row r="180" ht="15.75" customHeight="1">
      <c r="A180" s="18" t="s">
        <v>54</v>
      </c>
      <c r="B180" s="19" t="s">
        <v>3</v>
      </c>
      <c r="C180" s="20" t="s">
        <v>62</v>
      </c>
      <c r="D180" s="19" t="s">
        <v>64</v>
      </c>
      <c r="E180" s="20" t="s">
        <v>54</v>
      </c>
      <c r="F180" s="19" t="s">
        <v>3</v>
      </c>
      <c r="G180" s="19" t="s">
        <v>62</v>
      </c>
      <c r="H180" s="32" t="s">
        <v>64</v>
      </c>
      <c r="I180" s="2"/>
      <c r="J180" s="2"/>
    </row>
    <row r="181" ht="15.75" customHeight="1">
      <c r="A181" s="10" t="s">
        <v>81</v>
      </c>
      <c r="B181" s="9" t="s">
        <v>85</v>
      </c>
      <c r="C181" s="9"/>
      <c r="D181" s="11">
        <v>10000.0</v>
      </c>
      <c r="E181" s="10" t="s">
        <v>87</v>
      </c>
      <c r="F181" s="9" t="s">
        <v>216</v>
      </c>
      <c r="G181" s="9"/>
      <c r="H181" s="11">
        <v>10000.0</v>
      </c>
      <c r="I181" s="2"/>
      <c r="J181" s="2"/>
    </row>
    <row r="182" ht="15.75" customHeight="1">
      <c r="A182" s="10"/>
      <c r="B182" s="9"/>
      <c r="C182" s="9"/>
      <c r="D182" s="26">
        <v>10000.0</v>
      </c>
      <c r="E182" s="10"/>
      <c r="F182" s="9"/>
      <c r="G182" s="9"/>
      <c r="H182" s="26">
        <v>10000.0</v>
      </c>
    </row>
    <row r="183" ht="15.75" customHeight="1">
      <c r="A183" s="10" t="s">
        <v>114</v>
      </c>
      <c r="B183" s="9" t="s">
        <v>142</v>
      </c>
      <c r="C183" s="9"/>
      <c r="D183" s="11">
        <v>10000.0</v>
      </c>
      <c r="E183" s="10"/>
      <c r="F183" s="9"/>
      <c r="G183" s="9"/>
      <c r="H183" s="10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2"/>
      <c r="J185" s="2"/>
    </row>
    <row r="186" ht="15.75" customHeight="1">
      <c r="A186" s="14"/>
      <c r="B186" s="14"/>
      <c r="C186" s="14"/>
      <c r="D186" s="15" t="s">
        <v>276</v>
      </c>
      <c r="E186" s="15"/>
      <c r="F186" s="14"/>
      <c r="G186" s="14"/>
      <c r="H186" s="14"/>
      <c r="I186" s="2"/>
      <c r="J186" s="2"/>
    </row>
    <row r="187" ht="15.75" customHeight="1">
      <c r="A187" s="16" t="s">
        <v>11</v>
      </c>
      <c r="B187" s="14"/>
      <c r="C187" s="14"/>
      <c r="D187" s="14"/>
      <c r="E187" s="14"/>
      <c r="F187" s="14"/>
      <c r="G187" s="14"/>
      <c r="H187" s="17" t="s">
        <v>50</v>
      </c>
      <c r="I187" s="2"/>
      <c r="J187" s="2"/>
    </row>
    <row r="188" ht="15.75" customHeight="1">
      <c r="A188" s="18" t="s">
        <v>54</v>
      </c>
      <c r="B188" s="19" t="s">
        <v>3</v>
      </c>
      <c r="C188" s="20" t="s">
        <v>62</v>
      </c>
      <c r="D188" s="19" t="s">
        <v>64</v>
      </c>
      <c r="E188" s="20" t="s">
        <v>54</v>
      </c>
      <c r="F188" s="19" t="s">
        <v>3</v>
      </c>
      <c r="G188" s="19" t="s">
        <v>62</v>
      </c>
      <c r="H188" s="32" t="s">
        <v>64</v>
      </c>
      <c r="I188" s="2"/>
      <c r="J188" s="2"/>
    </row>
    <row r="189" ht="15.75" customHeight="1">
      <c r="A189" s="10" t="s">
        <v>90</v>
      </c>
      <c r="B189" s="9" t="s">
        <v>94</v>
      </c>
      <c r="C189" s="11">
        <v>50000.0</v>
      </c>
      <c r="D189" s="14"/>
      <c r="E189" s="10" t="s">
        <v>87</v>
      </c>
      <c r="F189" s="9" t="s">
        <v>280</v>
      </c>
      <c r="G189" s="9"/>
      <c r="H189" s="11">
        <v>50000.0</v>
      </c>
      <c r="I189" s="2"/>
      <c r="J189" s="2"/>
    </row>
    <row r="190" ht="15.75" customHeight="1">
      <c r="A190" s="10"/>
      <c r="B190" s="9"/>
      <c r="C190" s="26">
        <v>50000.0</v>
      </c>
      <c r="D190" s="10"/>
      <c r="E190" s="9"/>
      <c r="F190" s="9"/>
      <c r="G190" s="9"/>
      <c r="H190" s="26">
        <v>50000.0</v>
      </c>
    </row>
    <row r="191" ht="15.75" customHeight="1">
      <c r="A191" s="10" t="s">
        <v>114</v>
      </c>
      <c r="B191" s="9" t="s">
        <v>142</v>
      </c>
      <c r="C191" s="11">
        <v>50000.0</v>
      </c>
      <c r="D191" s="10"/>
      <c r="E191" s="9"/>
      <c r="F191" s="9"/>
      <c r="G191" s="9"/>
      <c r="H191" s="10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2"/>
      <c r="J193" s="2"/>
    </row>
    <row r="194" ht="15.75" customHeight="1">
      <c r="A194" s="14"/>
      <c r="B194" s="14"/>
      <c r="C194" s="14"/>
      <c r="D194" s="15" t="s">
        <v>104</v>
      </c>
      <c r="E194" s="15"/>
      <c r="F194" s="14"/>
      <c r="G194" s="14"/>
      <c r="H194" s="14"/>
      <c r="I194" s="2"/>
      <c r="J194" s="2"/>
    </row>
    <row r="195" ht="15.75" customHeight="1">
      <c r="A195" s="16" t="s">
        <v>11</v>
      </c>
      <c r="B195" s="14"/>
      <c r="C195" s="14"/>
      <c r="D195" s="14"/>
      <c r="E195" s="14"/>
      <c r="F195" s="14"/>
      <c r="G195" s="14"/>
      <c r="H195" s="17" t="s">
        <v>50</v>
      </c>
      <c r="I195" s="2"/>
      <c r="J195" s="2"/>
    </row>
    <row r="196" ht="15.75" customHeight="1">
      <c r="A196" s="18" t="s">
        <v>54</v>
      </c>
      <c r="B196" s="19" t="s">
        <v>3</v>
      </c>
      <c r="C196" s="20" t="s">
        <v>62</v>
      </c>
      <c r="D196" s="19" t="s">
        <v>64</v>
      </c>
      <c r="E196" s="20" t="s">
        <v>54</v>
      </c>
      <c r="F196" s="19" t="s">
        <v>3</v>
      </c>
      <c r="G196" s="19" t="s">
        <v>62</v>
      </c>
      <c r="H196" s="32" t="s">
        <v>64</v>
      </c>
      <c r="I196" s="2"/>
      <c r="J196" s="2"/>
    </row>
    <row r="197" ht="15.75" customHeight="1">
      <c r="A197" s="10" t="s">
        <v>103</v>
      </c>
      <c r="B197" s="9" t="s">
        <v>49</v>
      </c>
      <c r="C197" s="9"/>
      <c r="D197" s="11">
        <v>22000.0</v>
      </c>
      <c r="E197" s="10" t="s">
        <v>87</v>
      </c>
      <c r="F197" s="9" t="s">
        <v>280</v>
      </c>
      <c r="G197" s="9"/>
      <c r="H197" s="11">
        <v>22000.0</v>
      </c>
      <c r="I197" s="2"/>
      <c r="J197" s="2"/>
    </row>
    <row r="198" ht="15.75" customHeight="1">
      <c r="A198" s="10"/>
      <c r="B198" s="9"/>
      <c r="C198" s="9"/>
      <c r="D198" s="26">
        <v>22000.0</v>
      </c>
      <c r="E198" s="10"/>
      <c r="F198" s="9"/>
      <c r="G198" s="9"/>
      <c r="H198" s="26">
        <v>22000.0</v>
      </c>
    </row>
    <row r="199" ht="15.75" customHeight="1">
      <c r="A199" s="10" t="s">
        <v>114</v>
      </c>
      <c r="B199" s="9" t="s">
        <v>142</v>
      </c>
      <c r="C199" s="9"/>
      <c r="D199" s="11">
        <v>22000.0</v>
      </c>
      <c r="E199" s="10"/>
      <c r="F199" s="9"/>
      <c r="G199" s="9"/>
      <c r="H199" s="10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2"/>
      <c r="J201" s="2"/>
    </row>
    <row r="202" ht="15.75" customHeight="1">
      <c r="A202" s="14"/>
      <c r="B202" s="14"/>
      <c r="C202" s="14"/>
      <c r="D202" s="15" t="s">
        <v>150</v>
      </c>
      <c r="E202" s="15"/>
      <c r="F202" s="14"/>
      <c r="G202" s="14"/>
      <c r="H202" s="14"/>
      <c r="I202" s="2"/>
      <c r="J202" s="2"/>
    </row>
    <row r="203" ht="15.75" customHeight="1">
      <c r="A203" s="16" t="s">
        <v>11</v>
      </c>
      <c r="B203" s="14"/>
      <c r="C203" s="14"/>
      <c r="D203" s="14"/>
      <c r="E203" s="14"/>
      <c r="F203" s="14"/>
      <c r="G203" s="14"/>
      <c r="H203" s="17" t="s">
        <v>50</v>
      </c>
      <c r="I203" s="2"/>
      <c r="J203" s="2"/>
    </row>
    <row r="204" ht="15.75" customHeight="1">
      <c r="A204" s="18" t="s">
        <v>54</v>
      </c>
      <c r="B204" s="19" t="s">
        <v>3</v>
      </c>
      <c r="C204" s="20" t="s">
        <v>62</v>
      </c>
      <c r="D204" s="19" t="s">
        <v>64</v>
      </c>
      <c r="E204" s="20" t="s">
        <v>54</v>
      </c>
      <c r="F204" s="19" t="s">
        <v>3</v>
      </c>
      <c r="G204" s="19" t="s">
        <v>62</v>
      </c>
      <c r="H204" s="32" t="s">
        <v>64</v>
      </c>
      <c r="I204" s="2"/>
      <c r="J204" s="2"/>
    </row>
    <row r="205" ht="15.75" customHeight="1">
      <c r="A205" s="10" t="s">
        <v>108</v>
      </c>
      <c r="B205" s="9" t="s">
        <v>85</v>
      </c>
      <c r="C205" s="9"/>
      <c r="D205" s="11">
        <v>6000.0</v>
      </c>
      <c r="E205" s="10" t="s">
        <v>87</v>
      </c>
      <c r="F205" s="9" t="s">
        <v>280</v>
      </c>
      <c r="G205" s="9"/>
      <c r="H205" s="11">
        <v>6000.0</v>
      </c>
      <c r="I205" s="2"/>
      <c r="J205" s="2"/>
    </row>
    <row r="206" ht="15.75" customHeight="1">
      <c r="A206" s="10"/>
      <c r="B206" s="9"/>
      <c r="C206" s="9"/>
      <c r="D206" s="26">
        <v>6000.0</v>
      </c>
      <c r="E206" s="10"/>
      <c r="F206" s="9"/>
      <c r="G206" s="9"/>
      <c r="H206" s="26">
        <v>6000.0</v>
      </c>
    </row>
    <row r="207" ht="15.75" customHeight="1">
      <c r="A207" s="10" t="s">
        <v>114</v>
      </c>
      <c r="B207" s="9" t="s">
        <v>142</v>
      </c>
      <c r="C207" s="9"/>
      <c r="D207" s="11">
        <v>6000.0</v>
      </c>
      <c r="E207" s="10"/>
      <c r="F207" s="9"/>
      <c r="G207" s="9"/>
      <c r="H207" s="10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2"/>
      <c r="J209" s="2"/>
    </row>
    <row r="210" ht="15.75" customHeight="1">
      <c r="A210" s="14"/>
      <c r="B210" s="14"/>
      <c r="C210" s="14"/>
      <c r="D210" s="15" t="s">
        <v>152</v>
      </c>
      <c r="E210" s="15"/>
      <c r="F210" s="14"/>
      <c r="G210" s="14"/>
      <c r="H210" s="14"/>
      <c r="I210" s="2"/>
      <c r="J210" s="2"/>
    </row>
    <row r="211" ht="15.75" customHeight="1">
      <c r="A211" s="16" t="s">
        <v>11</v>
      </c>
      <c r="B211" s="14"/>
      <c r="C211" s="14"/>
      <c r="D211" s="14"/>
      <c r="E211" s="14"/>
      <c r="F211" s="14"/>
      <c r="G211" s="14"/>
      <c r="H211" s="17" t="s">
        <v>50</v>
      </c>
      <c r="I211" s="2"/>
      <c r="J211" s="2"/>
    </row>
    <row r="212" ht="15.75" customHeight="1">
      <c r="A212" s="18" t="s">
        <v>54</v>
      </c>
      <c r="B212" s="19" t="s">
        <v>3</v>
      </c>
      <c r="C212" s="20" t="s">
        <v>62</v>
      </c>
      <c r="D212" s="19" t="s">
        <v>64</v>
      </c>
      <c r="E212" s="20" t="s">
        <v>54</v>
      </c>
      <c r="F212" s="19" t="s">
        <v>3</v>
      </c>
      <c r="G212" s="19" t="s">
        <v>62</v>
      </c>
      <c r="H212" s="32" t="s">
        <v>64</v>
      </c>
      <c r="I212" s="2"/>
      <c r="J212" s="2"/>
    </row>
    <row r="213" ht="15.75" customHeight="1">
      <c r="A213" s="10" t="s">
        <v>87</v>
      </c>
      <c r="B213" s="9" t="s">
        <v>89</v>
      </c>
      <c r="C213" s="9"/>
      <c r="D213" s="11">
        <v>7000.0</v>
      </c>
      <c r="E213" s="10" t="s">
        <v>124</v>
      </c>
      <c r="F213" s="9" t="s">
        <v>241</v>
      </c>
      <c r="G213" s="9"/>
      <c r="H213" s="11">
        <v>7000.0</v>
      </c>
      <c r="I213" s="2"/>
      <c r="J213" s="2"/>
    </row>
    <row r="214" ht="15.75" customHeight="1">
      <c r="A214" s="10"/>
      <c r="B214" s="9"/>
      <c r="C214" s="9"/>
      <c r="D214" s="26">
        <v>7000.0</v>
      </c>
      <c r="E214" s="10"/>
      <c r="F214" s="9"/>
      <c r="G214" s="9"/>
      <c r="H214" s="26">
        <v>7000.0</v>
      </c>
    </row>
    <row r="215" ht="15.75" customHeight="1">
      <c r="A215" s="10"/>
      <c r="B215" s="9"/>
      <c r="C215" s="9"/>
      <c r="D215" s="10"/>
      <c r="E215" s="10" t="s">
        <v>114</v>
      </c>
      <c r="F215" s="9" t="s">
        <v>115</v>
      </c>
      <c r="G215" s="9"/>
      <c r="H215" s="11">
        <v>7000.0</v>
      </c>
    </row>
    <row r="216" ht="15.75" customHeight="1">
      <c r="A216" s="14"/>
      <c r="B216" s="14"/>
      <c r="C216" s="14"/>
      <c r="D216" s="14"/>
      <c r="E216" s="14"/>
      <c r="F216" s="14"/>
      <c r="G216" s="14"/>
      <c r="H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2"/>
      <c r="J217" s="2"/>
    </row>
    <row r="218" ht="15.75" customHeight="1">
      <c r="A218" s="14"/>
      <c r="B218" s="14"/>
      <c r="C218" s="14"/>
      <c r="D218" s="15" t="s">
        <v>154</v>
      </c>
      <c r="E218" s="15"/>
      <c r="F218" s="14"/>
      <c r="G218" s="14"/>
      <c r="H218" s="14"/>
      <c r="I218" s="2"/>
      <c r="J218" s="2"/>
    </row>
    <row r="219" ht="15.75" customHeight="1">
      <c r="A219" s="16" t="s">
        <v>11</v>
      </c>
      <c r="B219" s="14"/>
      <c r="C219" s="14"/>
      <c r="D219" s="14"/>
      <c r="E219" s="14"/>
      <c r="F219" s="14"/>
      <c r="G219" s="14"/>
      <c r="H219" s="17" t="s">
        <v>50</v>
      </c>
      <c r="I219" s="2"/>
      <c r="J219" s="2"/>
    </row>
    <row r="220" ht="15.75" customHeight="1">
      <c r="A220" s="18" t="s">
        <v>54</v>
      </c>
      <c r="B220" s="19" t="s">
        <v>3</v>
      </c>
      <c r="C220" s="20" t="s">
        <v>62</v>
      </c>
      <c r="D220" s="19" t="s">
        <v>64</v>
      </c>
      <c r="E220" s="20" t="s">
        <v>54</v>
      </c>
      <c r="F220" s="19" t="s">
        <v>3</v>
      </c>
      <c r="G220" s="19" t="s">
        <v>62</v>
      </c>
      <c r="H220" s="32" t="s">
        <v>64</v>
      </c>
      <c r="I220" s="2"/>
      <c r="J220" s="2"/>
    </row>
    <row r="221" ht="15.75" customHeight="1">
      <c r="A221" s="10" t="s">
        <v>138</v>
      </c>
      <c r="B221" s="9" t="s">
        <v>49</v>
      </c>
      <c r="C221" s="9"/>
      <c r="D221" s="11">
        <v>18000.0</v>
      </c>
      <c r="E221" s="10" t="s">
        <v>87</v>
      </c>
      <c r="F221" s="9" t="s">
        <v>280</v>
      </c>
      <c r="G221" s="9"/>
      <c r="H221" s="11">
        <v>18000.0</v>
      </c>
      <c r="I221" s="2"/>
      <c r="J221" s="2"/>
    </row>
    <row r="222" ht="15.75" customHeight="1">
      <c r="A222" s="10"/>
      <c r="B222" s="9"/>
      <c r="C222" s="9"/>
      <c r="D222" s="26">
        <v>18000.0</v>
      </c>
      <c r="E222" s="10"/>
      <c r="F222" s="9"/>
      <c r="G222" s="9"/>
      <c r="H222" s="26">
        <v>18000.0</v>
      </c>
    </row>
    <row r="223" ht="15.75" customHeight="1">
      <c r="A223" s="10" t="s">
        <v>114</v>
      </c>
      <c r="B223" s="9" t="s">
        <v>142</v>
      </c>
      <c r="C223" s="9"/>
      <c r="D223" s="11">
        <v>18000.0</v>
      </c>
      <c r="E223" s="10"/>
      <c r="F223" s="9"/>
      <c r="G223" s="9"/>
      <c r="H223" s="10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2"/>
      <c r="J225" s="2"/>
    </row>
    <row r="226" ht="15.75" customHeight="1">
      <c r="A226" s="14"/>
      <c r="B226" s="14"/>
      <c r="C226" s="14"/>
      <c r="D226" s="15" t="s">
        <v>311</v>
      </c>
      <c r="E226" s="15"/>
      <c r="F226" s="14"/>
      <c r="G226" s="14"/>
      <c r="H226" s="14"/>
      <c r="I226" s="2"/>
      <c r="J226" s="2"/>
    </row>
    <row r="227" ht="15.75" customHeight="1">
      <c r="A227" s="16" t="s">
        <v>11</v>
      </c>
      <c r="B227" s="14"/>
      <c r="C227" s="14"/>
      <c r="D227" s="14"/>
      <c r="E227" s="14"/>
      <c r="F227" s="14"/>
      <c r="G227" s="14"/>
      <c r="H227" s="17" t="s">
        <v>50</v>
      </c>
      <c r="I227" s="2"/>
      <c r="J227" s="2"/>
    </row>
    <row r="228" ht="15.75" customHeight="1">
      <c r="A228" s="18" t="s">
        <v>54</v>
      </c>
      <c r="B228" s="19" t="s">
        <v>3</v>
      </c>
      <c r="C228" s="20" t="s">
        <v>62</v>
      </c>
      <c r="D228" s="19" t="s">
        <v>64</v>
      </c>
      <c r="E228" s="20" t="s">
        <v>54</v>
      </c>
      <c r="F228" s="19" t="s">
        <v>3</v>
      </c>
      <c r="G228" s="19" t="s">
        <v>62</v>
      </c>
      <c r="H228" s="32" t="s">
        <v>64</v>
      </c>
      <c r="I228" s="2"/>
      <c r="J228" s="2"/>
    </row>
    <row r="229" ht="15.75" customHeight="1">
      <c r="A229" s="10" t="s">
        <v>184</v>
      </c>
      <c r="B229" s="9" t="s">
        <v>49</v>
      </c>
      <c r="C229" s="9"/>
      <c r="D229" s="11">
        <v>5500.0</v>
      </c>
      <c r="E229" s="10" t="s">
        <v>87</v>
      </c>
      <c r="F229" s="9" t="s">
        <v>280</v>
      </c>
      <c r="G229" s="9"/>
      <c r="H229" s="11">
        <v>5500.0</v>
      </c>
      <c r="I229" s="2"/>
      <c r="J229" s="2"/>
    </row>
    <row r="230" ht="15.75" customHeight="1">
      <c r="A230" s="10"/>
      <c r="B230" s="9"/>
      <c r="C230" s="9"/>
      <c r="D230" s="26">
        <v>5500.0</v>
      </c>
      <c r="E230" s="10"/>
      <c r="F230" s="9"/>
      <c r="G230" s="9"/>
      <c r="H230" s="26">
        <v>5500.0</v>
      </c>
    </row>
    <row r="231" ht="15.75" customHeight="1">
      <c r="A231" s="10" t="s">
        <v>114</v>
      </c>
      <c r="B231" s="9" t="s">
        <v>142</v>
      </c>
      <c r="C231" s="9"/>
      <c r="D231" s="11">
        <v>5500.0</v>
      </c>
      <c r="E231" s="10"/>
      <c r="F231" s="9"/>
      <c r="G231" s="9"/>
      <c r="H231" s="10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2"/>
      <c r="J233" s="2"/>
    </row>
    <row r="234" ht="15.75" customHeight="1">
      <c r="A234" s="14"/>
      <c r="B234" s="14"/>
      <c r="C234" s="14"/>
      <c r="D234" s="49" t="s">
        <v>171</v>
      </c>
      <c r="E234" s="49"/>
      <c r="F234" s="49"/>
      <c r="G234" s="14"/>
      <c r="H234" s="14"/>
      <c r="I234" s="2"/>
      <c r="J234" s="2"/>
    </row>
    <row r="235" ht="15.0" customHeight="1">
      <c r="A235" s="16" t="s">
        <v>11</v>
      </c>
      <c r="B235" s="14"/>
      <c r="C235" s="14"/>
      <c r="D235" s="14"/>
      <c r="E235" s="14"/>
      <c r="F235" s="14"/>
      <c r="G235" s="14"/>
      <c r="H235" s="17" t="s">
        <v>50</v>
      </c>
      <c r="I235" s="2"/>
      <c r="J235" s="2"/>
    </row>
    <row r="236" ht="15.75" customHeight="1">
      <c r="A236" s="18" t="s">
        <v>54</v>
      </c>
      <c r="B236" s="19" t="s">
        <v>3</v>
      </c>
      <c r="C236" s="20" t="s">
        <v>62</v>
      </c>
      <c r="D236" s="19" t="s">
        <v>64</v>
      </c>
      <c r="E236" s="20" t="s">
        <v>54</v>
      </c>
      <c r="F236" s="19" t="s">
        <v>3</v>
      </c>
      <c r="G236" s="19" t="s">
        <v>62</v>
      </c>
      <c r="H236" s="32" t="s">
        <v>64</v>
      </c>
      <c r="I236" s="2"/>
      <c r="J236" s="2"/>
    </row>
    <row r="237" ht="15.75" customHeight="1">
      <c r="A237" s="10" t="s">
        <v>87</v>
      </c>
      <c r="B237" s="9" t="s">
        <v>89</v>
      </c>
      <c r="C237" s="9"/>
      <c r="D237" s="11">
        <v>9000.0</v>
      </c>
      <c r="E237" s="10" t="s">
        <v>161</v>
      </c>
      <c r="F237" s="9" t="s">
        <v>73</v>
      </c>
      <c r="G237" s="9"/>
      <c r="H237" s="11">
        <v>9000.0</v>
      </c>
      <c r="I237" s="2"/>
      <c r="J237" s="2"/>
    </row>
    <row r="238" ht="15.75" customHeight="1">
      <c r="A238" s="10"/>
      <c r="B238" s="9"/>
      <c r="C238" s="9"/>
      <c r="D238" s="26">
        <v>9000.0</v>
      </c>
      <c r="E238" s="10"/>
      <c r="F238" s="9"/>
      <c r="G238" s="9"/>
      <c r="H238" s="26">
        <v>9000.0</v>
      </c>
    </row>
    <row r="239" ht="15.75" customHeight="1">
      <c r="A239" s="10"/>
      <c r="B239" s="9"/>
      <c r="C239" s="9"/>
      <c r="D239" s="10"/>
      <c r="E239" s="10" t="s">
        <v>114</v>
      </c>
      <c r="F239" s="9" t="s">
        <v>115</v>
      </c>
      <c r="G239" s="9"/>
      <c r="H239" s="11">
        <v>9000.0</v>
      </c>
    </row>
    <row r="240" ht="15.75" customHeight="1">
      <c r="A240" s="14"/>
      <c r="B240" s="14"/>
      <c r="C240" s="14"/>
      <c r="D240" s="14"/>
      <c r="E240" s="14"/>
      <c r="F240" s="14"/>
      <c r="G240" s="14"/>
      <c r="H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2"/>
      <c r="J241" s="2"/>
    </row>
    <row r="242" ht="15.75" customHeight="1">
      <c r="A242" s="14"/>
      <c r="B242" s="14"/>
      <c r="C242" s="17"/>
      <c r="D242" s="15" t="s">
        <v>324</v>
      </c>
      <c r="E242" s="15"/>
      <c r="F242" s="14"/>
      <c r="G242" s="14"/>
      <c r="H242" s="14"/>
      <c r="I242" s="2"/>
      <c r="J242" s="2"/>
    </row>
    <row r="243" ht="15.75" customHeight="1">
      <c r="A243" s="16" t="s">
        <v>11</v>
      </c>
      <c r="B243" s="14"/>
      <c r="C243" s="14"/>
      <c r="D243" s="14"/>
      <c r="E243" s="14"/>
      <c r="F243" s="14"/>
      <c r="G243" s="14"/>
      <c r="H243" s="17" t="s">
        <v>50</v>
      </c>
      <c r="I243" s="2"/>
      <c r="J243" s="2"/>
    </row>
    <row r="244" ht="15.75" customHeight="1">
      <c r="A244" s="18" t="s">
        <v>54</v>
      </c>
      <c r="B244" s="19" t="s">
        <v>3</v>
      </c>
      <c r="C244" s="20" t="s">
        <v>62</v>
      </c>
      <c r="D244" s="19" t="s">
        <v>64</v>
      </c>
      <c r="E244" s="20" t="s">
        <v>54</v>
      </c>
      <c r="F244" s="19" t="s">
        <v>3</v>
      </c>
      <c r="G244" s="19" t="s">
        <v>62</v>
      </c>
      <c r="H244" s="32" t="s">
        <v>64</v>
      </c>
      <c r="I244" s="2"/>
      <c r="J244" s="2"/>
    </row>
    <row r="245" ht="15.75" customHeight="1">
      <c r="A245" s="10" t="s">
        <v>190</v>
      </c>
      <c r="B245" s="9" t="s">
        <v>49</v>
      </c>
      <c r="C245" s="9"/>
      <c r="D245" s="11">
        <v>12000.0</v>
      </c>
      <c r="E245" s="10" t="s">
        <v>87</v>
      </c>
      <c r="F245" s="9" t="s">
        <v>280</v>
      </c>
      <c r="G245" s="9"/>
      <c r="H245" s="11">
        <v>12000.0</v>
      </c>
      <c r="I245" s="2"/>
      <c r="J245" s="2"/>
    </row>
    <row r="246" ht="15.75" customHeight="1">
      <c r="A246" s="10"/>
      <c r="B246" s="9"/>
      <c r="C246" s="9"/>
      <c r="D246" s="26">
        <v>12000.0</v>
      </c>
      <c r="E246" s="10"/>
      <c r="F246" s="9"/>
      <c r="G246" s="9"/>
      <c r="H246" s="26">
        <v>12000.0</v>
      </c>
    </row>
    <row r="247" ht="15.75" customHeight="1">
      <c r="A247" s="10" t="s">
        <v>114</v>
      </c>
      <c r="B247" s="9" t="s">
        <v>142</v>
      </c>
      <c r="C247" s="9"/>
      <c r="D247" s="11">
        <v>12000.0</v>
      </c>
      <c r="E247" s="10"/>
      <c r="F247" s="9"/>
      <c r="G247" s="9"/>
      <c r="H247" s="10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2"/>
      <c r="J249" s="2"/>
    </row>
    <row r="250" ht="15.75" customHeight="1">
      <c r="A250" s="14"/>
      <c r="B250" s="14"/>
      <c r="C250" s="14"/>
      <c r="D250" s="16" t="s">
        <v>179</v>
      </c>
      <c r="E250" s="16"/>
      <c r="F250" s="16"/>
      <c r="G250" s="14"/>
      <c r="H250" s="14"/>
      <c r="I250" s="2"/>
      <c r="J250" s="2"/>
    </row>
    <row r="251" ht="15.75" customHeight="1">
      <c r="A251" s="16" t="s">
        <v>11</v>
      </c>
      <c r="B251" s="14"/>
      <c r="C251" s="14"/>
      <c r="D251" s="14"/>
      <c r="E251" s="14"/>
      <c r="F251" s="14"/>
      <c r="G251" s="14"/>
      <c r="H251" s="17" t="s">
        <v>50</v>
      </c>
      <c r="I251" s="2"/>
      <c r="J251" s="2"/>
    </row>
    <row r="252" ht="15.75" customHeight="1">
      <c r="A252" s="18" t="s">
        <v>54</v>
      </c>
      <c r="B252" s="19" t="s">
        <v>3</v>
      </c>
      <c r="C252" s="20" t="s">
        <v>62</v>
      </c>
      <c r="D252" s="19" t="s">
        <v>64</v>
      </c>
      <c r="E252" s="20" t="s">
        <v>54</v>
      </c>
      <c r="F252" s="19" t="s">
        <v>3</v>
      </c>
      <c r="G252" s="19" t="s">
        <v>62</v>
      </c>
      <c r="H252" s="32" t="s">
        <v>64</v>
      </c>
      <c r="I252" s="2"/>
      <c r="J252" s="2"/>
    </row>
    <row r="253" ht="15.75" customHeight="1">
      <c r="A253" s="10" t="s">
        <v>220</v>
      </c>
      <c r="B253" s="9" t="s">
        <v>327</v>
      </c>
      <c r="C253" s="9"/>
      <c r="D253" s="11">
        <v>6000.0</v>
      </c>
      <c r="E253" s="10" t="s">
        <v>87</v>
      </c>
      <c r="F253" s="9" t="s">
        <v>280</v>
      </c>
      <c r="G253" s="9"/>
      <c r="H253" s="11">
        <v>6000.0</v>
      </c>
      <c r="I253" s="2"/>
      <c r="J253" s="2"/>
    </row>
    <row r="254" ht="15.75" customHeight="1">
      <c r="A254" s="10"/>
      <c r="B254" s="9"/>
      <c r="C254" s="9"/>
      <c r="D254" s="26">
        <v>6000.0</v>
      </c>
      <c r="E254" s="10"/>
      <c r="F254" s="9"/>
      <c r="G254" s="9"/>
      <c r="H254" s="26">
        <v>6000.0</v>
      </c>
    </row>
    <row r="255" ht="15.75" customHeight="1">
      <c r="A255" s="10" t="s">
        <v>114</v>
      </c>
      <c r="B255" s="9" t="s">
        <v>142</v>
      </c>
      <c r="C255" s="9"/>
      <c r="D255" s="11">
        <v>6000.0</v>
      </c>
      <c r="E255" s="10"/>
      <c r="F255" s="9"/>
      <c r="G255" s="9"/>
      <c r="H255" s="10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2"/>
      <c r="J257" s="2"/>
    </row>
    <row r="258" ht="15.75" customHeight="1">
      <c r="A258" s="14"/>
      <c r="B258" s="14"/>
      <c r="C258" s="14"/>
      <c r="D258" s="16" t="s">
        <v>229</v>
      </c>
      <c r="E258" s="16"/>
      <c r="F258" s="16"/>
      <c r="G258" s="14"/>
      <c r="H258" s="14"/>
      <c r="I258" s="2"/>
      <c r="J258" s="2"/>
    </row>
    <row r="259" ht="15.75" customHeight="1">
      <c r="A259" s="16" t="s">
        <v>11</v>
      </c>
      <c r="B259" s="14"/>
      <c r="C259" s="14"/>
      <c r="D259" s="14"/>
      <c r="E259" s="14"/>
      <c r="F259" s="14"/>
      <c r="G259" s="14"/>
      <c r="H259" s="17" t="s">
        <v>50</v>
      </c>
      <c r="I259" s="2"/>
      <c r="J259" s="2"/>
    </row>
    <row r="260" ht="15.75" customHeight="1">
      <c r="A260" s="18" t="s">
        <v>54</v>
      </c>
      <c r="B260" s="19" t="s">
        <v>3</v>
      </c>
      <c r="C260" s="20" t="s">
        <v>62</v>
      </c>
      <c r="D260" s="19" t="s">
        <v>64</v>
      </c>
      <c r="E260" s="20" t="s">
        <v>54</v>
      </c>
      <c r="F260" s="19" t="s">
        <v>3</v>
      </c>
      <c r="G260" s="19" t="s">
        <v>62</v>
      </c>
      <c r="H260" s="32" t="s">
        <v>64</v>
      </c>
      <c r="I260" s="2"/>
      <c r="J260" s="2"/>
    </row>
    <row r="261" ht="15.75" customHeight="1">
      <c r="A261" s="10" t="s">
        <v>195</v>
      </c>
      <c r="B261" s="9" t="s">
        <v>49</v>
      </c>
      <c r="C261" s="9"/>
      <c r="D261" s="11">
        <v>4000.0</v>
      </c>
      <c r="E261" s="10" t="s">
        <v>87</v>
      </c>
      <c r="F261" s="9" t="s">
        <v>280</v>
      </c>
      <c r="G261" s="9"/>
      <c r="H261" s="11">
        <v>4000.0</v>
      </c>
      <c r="I261" s="2"/>
      <c r="J261" s="2"/>
    </row>
    <row r="262" ht="15.75" customHeight="1">
      <c r="A262" s="10"/>
      <c r="B262" s="9"/>
      <c r="C262" s="9"/>
      <c r="D262" s="26">
        <v>4000.0</v>
      </c>
      <c r="E262" s="10"/>
      <c r="F262" s="9"/>
      <c r="G262" s="9"/>
      <c r="H262" s="26">
        <v>4000.0</v>
      </c>
    </row>
    <row r="263" ht="15.75" customHeight="1">
      <c r="A263" s="10" t="s">
        <v>114</v>
      </c>
      <c r="B263" s="9" t="s">
        <v>142</v>
      </c>
      <c r="C263" s="9"/>
      <c r="D263" s="11">
        <v>4000.0</v>
      </c>
      <c r="E263" s="10"/>
      <c r="F263" s="9"/>
      <c r="G263" s="9"/>
      <c r="H263" s="10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J265" s="2"/>
    </row>
    <row r="266" ht="15.75" customHeight="1">
      <c r="A266" s="14"/>
      <c r="B266" s="14"/>
      <c r="C266" s="14"/>
      <c r="D266" s="16" t="s">
        <v>185</v>
      </c>
      <c r="E266" s="16"/>
      <c r="F266" s="16"/>
      <c r="G266" s="14"/>
      <c r="H266" s="14"/>
      <c r="I266" s="2"/>
      <c r="J266" s="2"/>
    </row>
    <row r="267" ht="15.75" customHeight="1">
      <c r="A267" s="16" t="s">
        <v>11</v>
      </c>
      <c r="B267" s="14"/>
      <c r="C267" s="14"/>
      <c r="D267" s="14"/>
      <c r="E267" s="14"/>
      <c r="F267" s="14"/>
      <c r="G267" s="14"/>
      <c r="H267" s="17" t="s">
        <v>50</v>
      </c>
      <c r="I267" s="2"/>
      <c r="J267" s="2"/>
    </row>
    <row r="268" ht="15.75" customHeight="1">
      <c r="A268" s="18" t="s">
        <v>54</v>
      </c>
      <c r="B268" s="19" t="s">
        <v>3</v>
      </c>
      <c r="C268" s="20" t="s">
        <v>62</v>
      </c>
      <c r="D268" s="19" t="s">
        <v>64</v>
      </c>
      <c r="E268" s="20" t="s">
        <v>54</v>
      </c>
      <c r="F268" s="19" t="s">
        <v>3</v>
      </c>
      <c r="G268" s="19" t="s">
        <v>62</v>
      </c>
      <c r="H268" s="32" t="s">
        <v>64</v>
      </c>
      <c r="I268" s="2"/>
      <c r="J268" s="2"/>
    </row>
    <row r="269" ht="15.75" customHeight="1">
      <c r="A269" s="10" t="s">
        <v>87</v>
      </c>
      <c r="B269" s="9" t="s">
        <v>89</v>
      </c>
      <c r="C269" s="9"/>
      <c r="D269" s="11">
        <v>3000.0</v>
      </c>
      <c r="E269" s="10" t="s">
        <v>236</v>
      </c>
      <c r="F269" s="9" t="s">
        <v>79</v>
      </c>
      <c r="G269" s="9"/>
      <c r="H269" s="11">
        <v>3000.0</v>
      </c>
    </row>
    <row r="270" ht="15.75" customHeight="1">
      <c r="A270" s="10"/>
      <c r="B270" s="9"/>
      <c r="C270" s="9"/>
      <c r="D270" s="26">
        <v>3000.0</v>
      </c>
      <c r="E270" s="10"/>
      <c r="F270" s="9"/>
      <c r="G270" s="9"/>
      <c r="H270" s="26">
        <v>3000.0</v>
      </c>
    </row>
    <row r="271" ht="15.75" customHeight="1">
      <c r="A271" s="10"/>
      <c r="B271" s="9"/>
      <c r="C271" s="9"/>
      <c r="D271" s="10"/>
      <c r="E271" s="10" t="s">
        <v>114</v>
      </c>
      <c r="F271" s="9" t="s">
        <v>115</v>
      </c>
      <c r="G271" s="9"/>
      <c r="H271" s="11">
        <v>3000.0</v>
      </c>
    </row>
    <row r="272" ht="15.75" customHeight="1">
      <c r="A272" s="14"/>
      <c r="B272" s="14"/>
      <c r="C272" s="14"/>
      <c r="D272" s="14"/>
      <c r="E272" s="14"/>
      <c r="F272" s="14"/>
      <c r="G272" s="14"/>
      <c r="H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</row>
    <row r="274" ht="15.75" customHeight="1">
      <c r="A274" s="14"/>
      <c r="B274" s="14"/>
      <c r="C274" s="14"/>
      <c r="D274" s="15" t="s">
        <v>331</v>
      </c>
      <c r="E274" s="15"/>
      <c r="F274" s="16"/>
      <c r="G274" s="14"/>
      <c r="H274" s="14"/>
    </row>
    <row r="275" ht="15.75" customHeight="1">
      <c r="A275" s="16" t="s">
        <v>11</v>
      </c>
      <c r="B275" s="14"/>
      <c r="C275" s="14"/>
      <c r="D275" s="14"/>
      <c r="E275" s="14"/>
      <c r="F275" s="14"/>
      <c r="G275" s="14"/>
      <c r="H275" s="17" t="s">
        <v>50</v>
      </c>
    </row>
    <row r="276" ht="15.75" customHeight="1">
      <c r="A276" s="18" t="s">
        <v>54</v>
      </c>
      <c r="B276" s="19" t="s">
        <v>3</v>
      </c>
      <c r="C276" s="20" t="s">
        <v>62</v>
      </c>
      <c r="D276" s="19" t="s">
        <v>64</v>
      </c>
      <c r="E276" s="20" t="s">
        <v>54</v>
      </c>
      <c r="F276" s="19" t="s">
        <v>3</v>
      </c>
      <c r="G276" s="19" t="s">
        <v>62</v>
      </c>
      <c r="H276" s="32" t="s">
        <v>64</v>
      </c>
    </row>
    <row r="277" ht="15.75" customHeight="1">
      <c r="A277" s="10" t="s">
        <v>202</v>
      </c>
      <c r="B277" s="9" t="s">
        <v>49</v>
      </c>
      <c r="C277" s="9"/>
      <c r="D277" s="11">
        <v>8500.0</v>
      </c>
      <c r="E277" s="10" t="s">
        <v>87</v>
      </c>
      <c r="F277" s="9" t="s">
        <v>280</v>
      </c>
      <c r="G277" s="9"/>
      <c r="H277" s="11">
        <v>8500.0</v>
      </c>
    </row>
    <row r="278" ht="15.75" customHeight="1">
      <c r="A278" s="10"/>
      <c r="B278" s="9"/>
      <c r="C278" s="9"/>
      <c r="D278" s="26">
        <v>8500.0</v>
      </c>
      <c r="E278" s="10"/>
      <c r="F278" s="9"/>
      <c r="G278" s="9"/>
      <c r="H278" s="26">
        <v>8500.0</v>
      </c>
    </row>
    <row r="279" ht="15.75" customHeight="1">
      <c r="A279" s="10" t="s">
        <v>114</v>
      </c>
      <c r="B279" s="9" t="s">
        <v>142</v>
      </c>
      <c r="C279" s="9"/>
      <c r="D279" s="11">
        <v>8500.0</v>
      </c>
      <c r="E279" s="10"/>
      <c r="F279" s="9"/>
      <c r="G279" s="9"/>
      <c r="H279" s="10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</row>
    <row r="282" ht="15.75" customHeight="1">
      <c r="A282" s="14"/>
      <c r="B282" s="14"/>
      <c r="C282" s="14"/>
      <c r="D282" s="15" t="s">
        <v>332</v>
      </c>
      <c r="E282" s="15"/>
      <c r="F282" s="16"/>
      <c r="G282" s="14"/>
      <c r="H282" s="14"/>
    </row>
    <row r="283" ht="15.75" customHeight="1">
      <c r="A283" s="16" t="s">
        <v>11</v>
      </c>
      <c r="B283" s="14"/>
      <c r="C283" s="14"/>
      <c r="D283" s="14"/>
      <c r="E283" s="14"/>
      <c r="F283" s="14"/>
      <c r="G283" s="14"/>
      <c r="H283" s="17" t="s">
        <v>50</v>
      </c>
    </row>
    <row r="284" ht="15.75" customHeight="1">
      <c r="A284" s="18" t="s">
        <v>54</v>
      </c>
      <c r="B284" s="19" t="s">
        <v>3</v>
      </c>
      <c r="C284" s="20" t="s">
        <v>62</v>
      </c>
      <c r="D284" s="19" t="s">
        <v>64</v>
      </c>
      <c r="E284" s="20" t="s">
        <v>54</v>
      </c>
      <c r="F284" s="19" t="s">
        <v>3</v>
      </c>
      <c r="G284" s="19" t="s">
        <v>62</v>
      </c>
      <c r="H284" s="32" t="s">
        <v>64</v>
      </c>
    </row>
    <row r="285" ht="15.75" customHeight="1">
      <c r="A285" s="10" t="s">
        <v>205</v>
      </c>
      <c r="B285" s="9" t="s">
        <v>49</v>
      </c>
      <c r="C285" s="9"/>
      <c r="D285" s="11">
        <v>2500.0</v>
      </c>
      <c r="E285" s="10" t="s">
        <v>87</v>
      </c>
      <c r="F285" s="9" t="s">
        <v>280</v>
      </c>
      <c r="G285" s="9"/>
      <c r="H285" s="11">
        <v>2500.0</v>
      </c>
    </row>
    <row r="286" ht="15.75" customHeight="1">
      <c r="A286" s="10"/>
      <c r="B286" s="9"/>
      <c r="C286" s="9"/>
      <c r="D286" s="26">
        <v>2500.0</v>
      </c>
      <c r="E286" s="10"/>
      <c r="F286" s="9"/>
      <c r="G286" s="9"/>
      <c r="H286" s="26">
        <v>2500.0</v>
      </c>
    </row>
    <row r="287" ht="15.75" customHeight="1">
      <c r="A287" s="10" t="s">
        <v>114</v>
      </c>
      <c r="B287" s="9" t="s">
        <v>142</v>
      </c>
      <c r="C287" s="9"/>
      <c r="D287" s="11">
        <v>2500.0</v>
      </c>
      <c r="E287" s="10"/>
      <c r="F287" s="9"/>
      <c r="G287" s="9"/>
      <c r="H287" s="10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</row>
    <row r="290" ht="15.75" customHeight="1">
      <c r="A290" s="14"/>
      <c r="B290" s="14"/>
      <c r="C290" s="15" t="s">
        <v>333</v>
      </c>
      <c r="D290" s="15"/>
      <c r="E290" s="15"/>
      <c r="F290" s="15"/>
      <c r="G290" s="14"/>
      <c r="H290" s="14"/>
    </row>
    <row r="291" ht="15.75" customHeight="1">
      <c r="A291" s="16" t="s">
        <v>11</v>
      </c>
      <c r="B291" s="14"/>
      <c r="C291" s="14"/>
      <c r="D291" s="14"/>
      <c r="E291" s="14"/>
      <c r="F291" s="14"/>
      <c r="G291" s="14"/>
      <c r="H291" s="17" t="s">
        <v>50</v>
      </c>
    </row>
    <row r="292" ht="15.75" customHeight="1">
      <c r="A292" s="18" t="s">
        <v>54</v>
      </c>
      <c r="B292" s="19" t="s">
        <v>3</v>
      </c>
      <c r="C292" s="20" t="s">
        <v>62</v>
      </c>
      <c r="D292" s="19" t="s">
        <v>64</v>
      </c>
      <c r="E292" s="20" t="s">
        <v>54</v>
      </c>
      <c r="F292" s="19" t="s">
        <v>3</v>
      </c>
      <c r="G292" s="19" t="s">
        <v>62</v>
      </c>
      <c r="H292" s="32" t="s">
        <v>64</v>
      </c>
    </row>
    <row r="293" ht="15.75" customHeight="1">
      <c r="A293" s="10" t="s">
        <v>247</v>
      </c>
      <c r="B293" s="9" t="s">
        <v>94</v>
      </c>
      <c r="C293" s="9"/>
      <c r="D293" s="11">
        <v>5000.0</v>
      </c>
      <c r="E293" s="10" t="s">
        <v>87</v>
      </c>
      <c r="F293" s="9" t="s">
        <v>280</v>
      </c>
      <c r="G293" s="9"/>
      <c r="H293" s="11">
        <v>5000.0</v>
      </c>
    </row>
    <row r="294" ht="15.75" customHeight="1">
      <c r="A294" s="10"/>
      <c r="B294" s="9"/>
      <c r="C294" s="9"/>
      <c r="D294" s="26">
        <v>5000.0</v>
      </c>
      <c r="E294" s="10"/>
      <c r="F294" s="9"/>
      <c r="G294" s="9"/>
      <c r="H294" s="26">
        <v>5000.0</v>
      </c>
    </row>
    <row r="295" ht="15.75" customHeight="1">
      <c r="A295" s="10" t="s">
        <v>114</v>
      </c>
      <c r="B295" s="9" t="s">
        <v>142</v>
      </c>
      <c r="C295" s="9"/>
      <c r="D295" s="11">
        <v>5000.0</v>
      </c>
      <c r="E295" s="10"/>
      <c r="F295" s="9"/>
      <c r="G295" s="9"/>
      <c r="H295" s="10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71"/>
    <col customWidth="1" min="3" max="3" width="17.29"/>
    <col customWidth="1" min="4" max="4" width="16.0"/>
    <col customWidth="1" min="5" max="26" width="8.71"/>
  </cols>
  <sheetData>
    <row r="1" ht="15.0" customHeight="1">
      <c r="A1" s="1" t="s">
        <v>78</v>
      </c>
      <c r="E1" s="23"/>
      <c r="F1" s="23"/>
      <c r="G1" s="23"/>
      <c r="H1" s="23"/>
      <c r="I1" s="23"/>
      <c r="J1" s="23"/>
    </row>
    <row r="2" ht="15.0" customHeight="1">
      <c r="E2" s="23"/>
      <c r="F2" s="23"/>
      <c r="G2" s="23"/>
      <c r="H2" s="23"/>
      <c r="I2" s="23"/>
      <c r="J2" s="23"/>
    </row>
    <row r="3" ht="15.0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>
      <c r="A4" s="3" t="s">
        <v>102</v>
      </c>
      <c r="B4" s="4" t="s">
        <v>3</v>
      </c>
      <c r="C4" s="4" t="s">
        <v>5</v>
      </c>
      <c r="D4" s="5" t="s">
        <v>7</v>
      </c>
    </row>
    <row r="5">
      <c r="A5" s="27">
        <v>1.0</v>
      </c>
      <c r="B5" s="28"/>
      <c r="C5" s="29">
        <v>132000.0</v>
      </c>
      <c r="D5" s="30"/>
    </row>
    <row r="6">
      <c r="A6" s="30">
        <v>2.0</v>
      </c>
      <c r="B6" s="31" t="s">
        <v>15</v>
      </c>
      <c r="C6" s="29">
        <v>47000.0</v>
      </c>
      <c r="D6" s="30"/>
    </row>
    <row r="7">
      <c r="A7" s="30">
        <v>3.0</v>
      </c>
      <c r="B7" s="31" t="s">
        <v>128</v>
      </c>
      <c r="C7" s="29">
        <v>260000.0</v>
      </c>
      <c r="D7" s="30"/>
    </row>
    <row r="8">
      <c r="A8" s="30">
        <v>4.0</v>
      </c>
      <c r="B8" s="31" t="s">
        <v>76</v>
      </c>
      <c r="C8" s="30"/>
      <c r="D8" s="29">
        <v>21000.0</v>
      </c>
    </row>
    <row r="9">
      <c r="A9" s="30">
        <v>5.0</v>
      </c>
      <c r="B9" s="31" t="s">
        <v>26</v>
      </c>
      <c r="C9" s="29">
        <v>4000.0</v>
      </c>
      <c r="D9" s="30"/>
    </row>
    <row r="10">
      <c r="A10" s="30">
        <v>6.0</v>
      </c>
      <c r="B10" s="31" t="s">
        <v>133</v>
      </c>
      <c r="C10" s="30"/>
      <c r="D10" s="29">
        <v>355000.0</v>
      </c>
    </row>
    <row r="11">
      <c r="A11" s="30">
        <v>7.0</v>
      </c>
      <c r="B11" s="31" t="s">
        <v>136</v>
      </c>
      <c r="C11" s="29">
        <v>4500.0</v>
      </c>
      <c r="D11" s="30"/>
    </row>
    <row r="12">
      <c r="A12" s="30">
        <v>8.0</v>
      </c>
      <c r="B12" s="31" t="s">
        <v>72</v>
      </c>
      <c r="C12" s="29">
        <v>15000.0</v>
      </c>
      <c r="D12" s="30"/>
    </row>
    <row r="13">
      <c r="A13" s="30">
        <v>9.0</v>
      </c>
      <c r="B13" s="31" t="s">
        <v>139</v>
      </c>
      <c r="C13" s="30"/>
      <c r="D13" s="29">
        <v>12000.0</v>
      </c>
    </row>
    <row r="14">
      <c r="A14" s="30">
        <v>10.0</v>
      </c>
      <c r="B14" s="31" t="s">
        <v>82</v>
      </c>
      <c r="C14" s="29">
        <v>10000.0</v>
      </c>
      <c r="D14" s="30"/>
    </row>
    <row r="15">
      <c r="A15" s="30">
        <v>11.0</v>
      </c>
      <c r="B15" s="31" t="s">
        <v>143</v>
      </c>
      <c r="C15" s="29">
        <v>50000.0</v>
      </c>
      <c r="D15" s="30"/>
    </row>
    <row r="16">
      <c r="A16" s="30">
        <v>12.0</v>
      </c>
      <c r="B16" s="31" t="s">
        <v>104</v>
      </c>
      <c r="C16" s="29">
        <v>22000.0</v>
      </c>
      <c r="D16" s="30"/>
    </row>
    <row r="17">
      <c r="A17" s="30">
        <v>13.0</v>
      </c>
      <c r="B17" s="31" t="s">
        <v>150</v>
      </c>
      <c r="C17" s="29">
        <v>6000.0</v>
      </c>
      <c r="D17" s="30"/>
    </row>
    <row r="18">
      <c r="A18" s="30">
        <v>14.0</v>
      </c>
      <c r="B18" s="31" t="s">
        <v>152</v>
      </c>
      <c r="C18" s="30"/>
      <c r="D18" s="29">
        <v>7000.0</v>
      </c>
    </row>
    <row r="19">
      <c r="A19" s="30">
        <v>15.0</v>
      </c>
      <c r="B19" s="31" t="s">
        <v>154</v>
      </c>
      <c r="C19" s="29">
        <v>18000.0</v>
      </c>
      <c r="D19" s="30"/>
    </row>
    <row r="20">
      <c r="A20" s="30">
        <v>16.0</v>
      </c>
      <c r="B20" s="31" t="s">
        <v>157</v>
      </c>
      <c r="C20" s="30"/>
      <c r="D20" s="29">
        <v>125000.0</v>
      </c>
    </row>
    <row r="21" ht="15.75" customHeight="1">
      <c r="A21" s="30">
        <v>17.0</v>
      </c>
      <c r="B21" s="31" t="s">
        <v>27</v>
      </c>
      <c r="C21" s="29">
        <v>55000.0</v>
      </c>
      <c r="D21" s="30"/>
    </row>
    <row r="22" ht="15.75" customHeight="1">
      <c r="A22" s="30">
        <v>18.0</v>
      </c>
      <c r="B22" s="31" t="s">
        <v>168</v>
      </c>
      <c r="C22" s="29">
        <v>5500.0</v>
      </c>
      <c r="D22" s="30"/>
    </row>
    <row r="23" ht="15.75" customHeight="1">
      <c r="A23" s="30">
        <v>19.0</v>
      </c>
      <c r="B23" s="31" t="s">
        <v>171</v>
      </c>
      <c r="C23" s="30"/>
      <c r="D23" s="29">
        <v>9000.0</v>
      </c>
    </row>
    <row r="24" ht="15.75" customHeight="1">
      <c r="A24" s="30">
        <v>20.0</v>
      </c>
      <c r="B24" s="31" t="s">
        <v>44</v>
      </c>
      <c r="C24" s="30"/>
      <c r="D24" s="29">
        <v>450000.0</v>
      </c>
    </row>
    <row r="25" ht="15.75" customHeight="1">
      <c r="A25" s="30">
        <v>21.0</v>
      </c>
      <c r="B25" s="31" t="s">
        <v>177</v>
      </c>
      <c r="C25" s="29">
        <v>12000.0</v>
      </c>
      <c r="D25" s="30"/>
    </row>
    <row r="26" ht="15.75" customHeight="1">
      <c r="A26" s="30">
        <v>22.0</v>
      </c>
      <c r="B26" s="31" t="s">
        <v>179</v>
      </c>
      <c r="C26" s="29">
        <v>6000.0</v>
      </c>
      <c r="D26" s="30"/>
    </row>
    <row r="27" ht="15.75" customHeight="1">
      <c r="A27" s="30">
        <v>23.0</v>
      </c>
      <c r="B27" s="31" t="s">
        <v>182</v>
      </c>
      <c r="C27" s="29">
        <v>4000.0</v>
      </c>
      <c r="D27" s="30"/>
    </row>
    <row r="28" ht="15.75" customHeight="1">
      <c r="A28" s="30">
        <v>24.0</v>
      </c>
      <c r="B28" s="31" t="s">
        <v>185</v>
      </c>
      <c r="C28" s="30"/>
      <c r="D28" s="29">
        <v>3000.0</v>
      </c>
    </row>
    <row r="29" ht="15.75" customHeight="1">
      <c r="A29" s="30">
        <v>25.0</v>
      </c>
      <c r="B29" s="31" t="s">
        <v>187</v>
      </c>
      <c r="C29" s="29">
        <v>8500.0</v>
      </c>
      <c r="D29" s="33"/>
    </row>
    <row r="30" ht="15.75" customHeight="1">
      <c r="A30" s="30">
        <v>26.0</v>
      </c>
      <c r="B30" s="31" t="s">
        <v>200</v>
      </c>
      <c r="C30" s="29">
        <v>2500.0</v>
      </c>
      <c r="D30" s="30"/>
    </row>
    <row r="31" ht="15.75" customHeight="1">
      <c r="A31" s="30">
        <v>27.0</v>
      </c>
      <c r="B31" s="31" t="s">
        <v>20</v>
      </c>
      <c r="C31" s="29">
        <v>85000.0</v>
      </c>
      <c r="D31" s="30"/>
    </row>
    <row r="32" ht="15.75" customHeight="1">
      <c r="A32" s="30">
        <v>28.0</v>
      </c>
      <c r="B32" s="31" t="s">
        <v>219</v>
      </c>
      <c r="C32" s="29">
        <v>5000.0</v>
      </c>
      <c r="D32" s="30"/>
    </row>
    <row r="33" ht="15.75" customHeight="1">
      <c r="A33" s="30">
        <v>29.0</v>
      </c>
      <c r="B33" s="31" t="s">
        <v>21</v>
      </c>
      <c r="C33" s="29">
        <v>200000.0</v>
      </c>
      <c r="D33" s="30"/>
    </row>
    <row r="34" ht="15.75" customHeight="1">
      <c r="A34" s="30">
        <v>30.0</v>
      </c>
      <c r="B34" s="31" t="s">
        <v>223</v>
      </c>
      <c r="C34" s="29">
        <v>90000.0</v>
      </c>
      <c r="D34" s="30"/>
    </row>
    <row r="35" ht="15.75" customHeight="1">
      <c r="A35" s="30">
        <v>31.0</v>
      </c>
      <c r="B35" s="31" t="s">
        <v>24</v>
      </c>
      <c r="C35" s="29">
        <v>40000.0</v>
      </c>
      <c r="D35" s="30"/>
    </row>
    <row r="36" ht="15.75" customHeight="1">
      <c r="A36" s="30">
        <v>32.0</v>
      </c>
      <c r="B36" s="31" t="s">
        <v>226</v>
      </c>
      <c r="C36" s="30"/>
      <c r="D36" s="29">
        <v>100000.0</v>
      </c>
    </row>
    <row r="37" ht="15.75" customHeight="1">
      <c r="A37" s="31"/>
      <c r="B37" s="34" t="s">
        <v>231</v>
      </c>
      <c r="C37" s="35">
        <f t="shared" ref="C37:D37" si="1">SUM(C5:C36)</f>
        <v>1082000</v>
      </c>
      <c r="D37" s="35">
        <f t="shared" si="1"/>
        <v>1082000</v>
      </c>
    </row>
    <row r="38" ht="15.75" customHeight="1">
      <c r="C38" s="36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3" width="12.57"/>
    <col customWidth="1" min="4" max="4" width="22.57"/>
    <col customWidth="1" min="5" max="6" width="12.57"/>
    <col customWidth="1" min="7" max="26" width="8.71"/>
  </cols>
  <sheetData>
    <row r="1">
      <c r="A1" s="1" t="s">
        <v>267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1" t="s">
        <v>270</v>
      </c>
      <c r="B3" s="2"/>
      <c r="C3" s="2"/>
      <c r="D3" s="2"/>
      <c r="E3" s="2"/>
      <c r="F3" s="42" t="s">
        <v>271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4" t="s">
        <v>64</v>
      </c>
      <c r="C4" s="4" t="s">
        <v>64</v>
      </c>
      <c r="D4" s="4" t="s">
        <v>3</v>
      </c>
      <c r="E4" s="4" t="s">
        <v>64</v>
      </c>
      <c r="F4" s="5" t="s">
        <v>64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8" t="s">
        <v>273</v>
      </c>
      <c r="B5" s="28"/>
      <c r="C5" s="43">
        <v>90000.0</v>
      </c>
      <c r="D5" s="28" t="s">
        <v>275</v>
      </c>
      <c r="E5" s="43">
        <v>355000.0</v>
      </c>
      <c r="F5" s="2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1" t="s">
        <v>279</v>
      </c>
      <c r="B6" s="45">
        <v>260000.0</v>
      </c>
      <c r="C6" s="31"/>
      <c r="D6" s="31" t="s">
        <v>282</v>
      </c>
      <c r="E6" s="44">
        <v>10000.0</v>
      </c>
      <c r="F6" s="45">
        <v>345000.0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1" t="s">
        <v>285</v>
      </c>
      <c r="B7" s="44">
        <v>12000.0</v>
      </c>
      <c r="C7" s="45">
        <v>248000.0</v>
      </c>
      <c r="D7" s="31" t="s">
        <v>286</v>
      </c>
      <c r="E7" s="28"/>
      <c r="F7" s="45">
        <v>110000.0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4" t="s">
        <v>290</v>
      </c>
      <c r="B8" s="28"/>
      <c r="C8" s="31"/>
      <c r="D8" s="31"/>
      <c r="E8" s="31"/>
      <c r="F8" s="3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1" t="s">
        <v>292</v>
      </c>
      <c r="B9" s="31"/>
      <c r="C9" s="45">
        <v>15000.0</v>
      </c>
      <c r="D9" s="31"/>
      <c r="E9" s="31"/>
      <c r="F9" s="3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1" t="s">
        <v>295</v>
      </c>
      <c r="B10" s="31"/>
      <c r="C10" s="45">
        <v>4500.0</v>
      </c>
      <c r="D10" s="31"/>
      <c r="E10" s="31"/>
      <c r="F10" s="3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1" t="s">
        <v>298</v>
      </c>
      <c r="B11" s="31"/>
      <c r="C11" s="45">
        <v>97500.0</v>
      </c>
      <c r="D11" s="31"/>
      <c r="E11" s="31"/>
      <c r="F11" s="3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1"/>
      <c r="B12" s="31"/>
      <c r="C12" s="47">
        <f>SUM(C5:C11)</f>
        <v>455000</v>
      </c>
      <c r="D12" s="31"/>
      <c r="E12" s="31"/>
      <c r="F12" s="47">
        <f>SUM(F6:F11)</f>
        <v>455000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3" width="12.57"/>
    <col customWidth="1" min="4" max="4" width="35.0"/>
    <col customWidth="1" min="5" max="6" width="12.57"/>
    <col customWidth="1" min="7" max="26" width="8.71"/>
  </cols>
  <sheetData>
    <row r="1">
      <c r="A1" s="1" t="s">
        <v>268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1" t="s">
        <v>270</v>
      </c>
      <c r="B3" s="2"/>
      <c r="C3" s="2"/>
      <c r="D3" s="2"/>
      <c r="E3" s="2"/>
      <c r="F3" s="42" t="s">
        <v>271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4" t="s">
        <v>64</v>
      </c>
      <c r="C4" s="4" t="s">
        <v>64</v>
      </c>
      <c r="D4" s="4" t="s">
        <v>3</v>
      </c>
      <c r="E4" s="4" t="s">
        <v>64</v>
      </c>
      <c r="F4" s="5" t="s">
        <v>64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8" t="s">
        <v>272</v>
      </c>
      <c r="B5" s="43">
        <v>22000.0</v>
      </c>
      <c r="C5" s="28"/>
      <c r="D5" s="28" t="s">
        <v>274</v>
      </c>
      <c r="E5" s="28"/>
      <c r="F5" s="43">
        <v>97500.0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1" t="s">
        <v>278</v>
      </c>
      <c r="B6" s="44">
        <v>3000.0</v>
      </c>
      <c r="C6" s="45">
        <v>25000.0</v>
      </c>
      <c r="D6" s="31" t="s">
        <v>281</v>
      </c>
      <c r="E6" s="31"/>
      <c r="F6" s="45">
        <v>7000.0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1" t="s">
        <v>283</v>
      </c>
      <c r="B7" s="28"/>
      <c r="C7" s="45">
        <v>6000.0</v>
      </c>
      <c r="D7" s="31" t="s">
        <v>284</v>
      </c>
      <c r="E7" s="31"/>
      <c r="F7" s="45">
        <v>9000.0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1" t="s">
        <v>287</v>
      </c>
      <c r="B8" s="31"/>
      <c r="C8" s="45">
        <v>18000.0</v>
      </c>
      <c r="D8" s="31" t="s">
        <v>288</v>
      </c>
      <c r="E8" s="31"/>
      <c r="F8" s="45">
        <v>3000.0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1" t="s">
        <v>289</v>
      </c>
      <c r="B9" s="31"/>
      <c r="C9" s="45">
        <v>5500.0</v>
      </c>
      <c r="D9" s="31"/>
      <c r="E9" s="31"/>
      <c r="F9" s="3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1" t="s">
        <v>291</v>
      </c>
      <c r="B10" s="45">
        <v>6000.0</v>
      </c>
      <c r="C10" s="31"/>
      <c r="D10" s="31"/>
      <c r="E10" s="31"/>
      <c r="F10" s="3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1" t="s">
        <v>294</v>
      </c>
      <c r="B11" s="44">
        <v>1500.0</v>
      </c>
      <c r="C11" s="45">
        <v>4500.0</v>
      </c>
      <c r="D11" s="31"/>
      <c r="E11" s="31"/>
      <c r="F11" s="3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1" t="s">
        <v>297</v>
      </c>
      <c r="B12" s="28"/>
      <c r="C12" s="45">
        <v>4000.0</v>
      </c>
      <c r="D12" s="31"/>
      <c r="E12" s="31"/>
      <c r="F12" s="3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1" t="s">
        <v>299</v>
      </c>
      <c r="B13" s="31"/>
      <c r="C13" s="45">
        <v>8500.0</v>
      </c>
      <c r="D13" s="31"/>
      <c r="E13" s="31"/>
      <c r="F13" s="3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1" t="s">
        <v>301</v>
      </c>
      <c r="B14" s="31"/>
      <c r="C14" s="45">
        <v>2500.0</v>
      </c>
      <c r="D14" s="31"/>
      <c r="E14" s="31"/>
      <c r="F14" s="3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1" t="s">
        <v>302</v>
      </c>
      <c r="B15" s="45">
        <v>5000.0</v>
      </c>
      <c r="C15" s="31"/>
      <c r="D15" s="31"/>
      <c r="E15" s="31"/>
      <c r="F15" s="3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1" t="s">
        <v>304</v>
      </c>
      <c r="B16" s="44">
        <v>2000.0</v>
      </c>
      <c r="C16" s="45">
        <v>7000.0</v>
      </c>
      <c r="D16" s="31"/>
      <c r="E16" s="31"/>
      <c r="F16" s="3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1" t="s">
        <v>306</v>
      </c>
      <c r="B17" s="28"/>
      <c r="C17" s="45">
        <v>1667.0</v>
      </c>
      <c r="D17" s="31"/>
      <c r="E17" s="31"/>
      <c r="F17" s="3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1" t="s">
        <v>307</v>
      </c>
      <c r="B18" s="31"/>
      <c r="C18" s="31">
        <v>354.0</v>
      </c>
      <c r="D18" s="31"/>
      <c r="E18" s="31"/>
      <c r="F18" s="3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1" t="s">
        <v>308</v>
      </c>
      <c r="B19" s="31"/>
      <c r="C19" s="45">
        <v>417.0</v>
      </c>
      <c r="D19" s="31"/>
      <c r="E19" s="31"/>
      <c r="F19" s="3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1" t="s">
        <v>310</v>
      </c>
      <c r="B20" s="31"/>
      <c r="C20" s="31">
        <v>333.0</v>
      </c>
      <c r="D20" s="31"/>
      <c r="E20" s="31"/>
      <c r="F20" s="3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1" t="s">
        <v>312</v>
      </c>
      <c r="B21" s="31"/>
      <c r="C21" s="45">
        <v>32729.0</v>
      </c>
      <c r="D21" s="31"/>
      <c r="E21" s="31"/>
      <c r="F21" s="3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1"/>
      <c r="B22" s="31"/>
      <c r="C22" s="47">
        <f>SUM(C5:C21)</f>
        <v>116500</v>
      </c>
      <c r="D22" s="31"/>
      <c r="E22" s="31"/>
      <c r="F22" s="47">
        <f>SUM(F5:F21)</f>
        <v>116500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12.86"/>
    <col customWidth="1" min="3" max="3" width="12.57"/>
    <col customWidth="1" min="4" max="4" width="22.57"/>
    <col customWidth="1" min="5" max="6" width="12.57"/>
    <col customWidth="1" min="7" max="26" width="8.71"/>
  </cols>
  <sheetData>
    <row r="1">
      <c r="A1" s="1" t="s">
        <v>277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1" t="s">
        <v>270</v>
      </c>
      <c r="B3" s="2"/>
      <c r="C3" s="2"/>
      <c r="D3" s="2"/>
      <c r="E3" s="2"/>
      <c r="F3" s="42" t="s">
        <v>271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293</v>
      </c>
      <c r="B4" s="4" t="s">
        <v>64</v>
      </c>
      <c r="C4" s="4" t="s">
        <v>64</v>
      </c>
      <c r="D4" s="4" t="s">
        <v>296</v>
      </c>
      <c r="E4" s="4" t="s">
        <v>64</v>
      </c>
      <c r="F4" s="5" t="s">
        <v>64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8" t="s">
        <v>63</v>
      </c>
      <c r="B5" s="43">
        <v>450000.0</v>
      </c>
      <c r="C5" s="28"/>
      <c r="D5" s="46" t="s">
        <v>300</v>
      </c>
      <c r="E5" s="28"/>
      <c r="F5" s="2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1" t="s">
        <v>303</v>
      </c>
      <c r="B6" s="44">
        <v>32729.0</v>
      </c>
      <c r="C6" s="31"/>
      <c r="D6" s="31" t="s">
        <v>305</v>
      </c>
      <c r="E6" s="45">
        <v>132000.0</v>
      </c>
      <c r="F6" s="3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1"/>
      <c r="B7" s="43">
        <v>482729.0</v>
      </c>
      <c r="C7" s="31"/>
      <c r="D7" s="31" t="s">
        <v>37</v>
      </c>
      <c r="E7" s="44">
        <v>47000.0</v>
      </c>
      <c r="F7" s="45">
        <v>179000.0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8" t="s">
        <v>309</v>
      </c>
      <c r="B8" s="48">
        <v>12000.0</v>
      </c>
      <c r="C8" s="43">
        <v>470729.0</v>
      </c>
      <c r="D8" s="31" t="s">
        <v>313</v>
      </c>
      <c r="E8" s="28"/>
      <c r="F8" s="45">
        <v>4000.0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4" t="s">
        <v>314</v>
      </c>
      <c r="B9" s="28"/>
      <c r="C9" s="31"/>
      <c r="D9" s="31" t="s">
        <v>315</v>
      </c>
      <c r="E9" s="31"/>
      <c r="F9" s="45">
        <v>55000.0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1" t="s">
        <v>66</v>
      </c>
      <c r="B10" s="31"/>
      <c r="C10" s="45">
        <v>100000.0</v>
      </c>
      <c r="D10" s="31" t="s">
        <v>316</v>
      </c>
      <c r="E10" s="31"/>
      <c r="F10" s="45">
        <v>1500.0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4" t="s">
        <v>317</v>
      </c>
      <c r="B11" s="31"/>
      <c r="C11" s="31"/>
      <c r="D11" s="31" t="s">
        <v>318</v>
      </c>
      <c r="E11" s="31"/>
      <c r="F11" s="45">
        <v>110000.0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1" t="s">
        <v>319</v>
      </c>
      <c r="B12" s="31"/>
      <c r="C12" s="45">
        <v>21000.0</v>
      </c>
      <c r="D12" s="34" t="s">
        <v>320</v>
      </c>
      <c r="E12" s="31"/>
      <c r="F12" s="3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1" t="s">
        <v>321</v>
      </c>
      <c r="B13" s="31"/>
      <c r="C13" s="45">
        <v>125000.0</v>
      </c>
      <c r="D13" s="31" t="s">
        <v>48</v>
      </c>
      <c r="E13" s="45">
        <v>40000.0</v>
      </c>
      <c r="F13" s="3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1" t="s">
        <v>322</v>
      </c>
      <c r="B14" s="31"/>
      <c r="C14" s="45">
        <v>3000.0</v>
      </c>
      <c r="D14" s="31" t="s">
        <v>323</v>
      </c>
      <c r="E14" s="50">
        <v>333.0</v>
      </c>
      <c r="F14" s="45">
        <v>39667.0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1" t="s">
        <v>325</v>
      </c>
      <c r="B15" s="31"/>
      <c r="C15" s="45">
        <v>2000.0</v>
      </c>
      <c r="D15" s="31" t="s">
        <v>42</v>
      </c>
      <c r="E15" s="43">
        <v>85000.0</v>
      </c>
      <c r="F15" s="3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1"/>
      <c r="B16" s="31"/>
      <c r="C16" s="31"/>
      <c r="D16" s="31" t="s">
        <v>326</v>
      </c>
      <c r="E16" s="50">
        <v>354.0</v>
      </c>
      <c r="F16" s="45">
        <v>84646.0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1"/>
      <c r="B17" s="31"/>
      <c r="C17" s="31"/>
      <c r="D17" s="31" t="s">
        <v>46</v>
      </c>
      <c r="E17" s="43">
        <v>200000.0</v>
      </c>
      <c r="F17" s="3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1"/>
      <c r="B18" s="31"/>
      <c r="C18" s="31"/>
      <c r="D18" s="31" t="s">
        <v>328</v>
      </c>
      <c r="E18" s="44">
        <v>1667.0</v>
      </c>
      <c r="F18" s="45">
        <v>198333.0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1"/>
      <c r="B19" s="31"/>
      <c r="C19" s="31"/>
      <c r="D19" s="31" t="s">
        <v>329</v>
      </c>
      <c r="E19" s="43">
        <v>50000.0</v>
      </c>
      <c r="F19" s="3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1"/>
      <c r="B20" s="31"/>
      <c r="C20" s="31"/>
      <c r="D20" s="31" t="s">
        <v>330</v>
      </c>
      <c r="E20" s="44">
        <v>417.0</v>
      </c>
      <c r="F20" s="45">
        <v>49583.0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1"/>
      <c r="B21" s="31"/>
      <c r="C21" s="31"/>
      <c r="D21" s="31"/>
      <c r="E21" s="28"/>
      <c r="F21" s="3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1"/>
      <c r="B22" s="31"/>
      <c r="C22" s="47">
        <f>SUM(C5:C21)</f>
        <v>721729</v>
      </c>
      <c r="D22" s="31"/>
      <c r="E22" s="31"/>
      <c r="F22" s="47">
        <f>SUM(F5:F21)</f>
        <v>721729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80.14"/>
    <col customWidth="1" min="3" max="3" width="56.29"/>
    <col customWidth="1" min="4" max="4" width="101.86"/>
    <col customWidth="1" min="5" max="24" width="8.71"/>
  </cols>
  <sheetData>
    <row r="1" ht="14.25" customHeight="1">
      <c r="A1" s="51" t="s">
        <v>334</v>
      </c>
      <c r="B1" s="52"/>
      <c r="C1" s="53"/>
      <c r="D1" s="54" t="s">
        <v>335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9.5" customHeight="1">
      <c r="A2" s="56" t="s">
        <v>336</v>
      </c>
      <c r="B2" s="57"/>
      <c r="C2" s="58"/>
      <c r="D2" s="59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21.0" customHeight="1">
      <c r="A3" s="60" t="s">
        <v>337</v>
      </c>
      <c r="B3" s="61" t="s">
        <v>338</v>
      </c>
      <c r="C3" s="62"/>
      <c r="D3" s="63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4.25" customHeight="1">
      <c r="A4" s="64"/>
      <c r="B4" s="64"/>
      <c r="C4" s="64"/>
      <c r="D4" s="64" t="s">
        <v>339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7.25" customHeight="1">
      <c r="A5" s="65" t="s">
        <v>340</v>
      </c>
      <c r="B5" s="66" t="s">
        <v>341</v>
      </c>
      <c r="C5" s="67">
        <v>349500.0</v>
      </c>
      <c r="D5" s="64" t="s">
        <v>342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6.5" customHeight="1">
      <c r="A6" s="65" t="s">
        <v>343</v>
      </c>
      <c r="B6" s="66" t="s">
        <v>344</v>
      </c>
      <c r="C6" s="67">
        <v>151000.0</v>
      </c>
      <c r="D6" s="64" t="s">
        <v>345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8.0" customHeight="1">
      <c r="A7" s="68" t="s">
        <v>346</v>
      </c>
      <c r="B7" s="69" t="s">
        <v>347</v>
      </c>
      <c r="C7" s="70">
        <f>C5/C6</f>
        <v>2.314569536</v>
      </c>
      <c r="D7" s="71" t="s">
        <v>348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4.25" customHeight="1">
      <c r="A8" s="60" t="s">
        <v>349</v>
      </c>
      <c r="B8" s="72" t="s">
        <v>350</v>
      </c>
      <c r="C8" s="53"/>
      <c r="D8" s="6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4.25" customHeight="1">
      <c r="A9" s="64"/>
      <c r="B9" s="73"/>
      <c r="C9" s="73"/>
      <c r="D9" s="64" t="s">
        <v>351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7.25" customHeight="1">
      <c r="A10" s="65" t="s">
        <v>352</v>
      </c>
      <c r="B10" s="74" t="s">
        <v>353</v>
      </c>
      <c r="C10" s="75">
        <v>238000.0</v>
      </c>
      <c r="D10" s="64" t="s">
        <v>354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6.5" customHeight="1">
      <c r="A11" s="65" t="s">
        <v>343</v>
      </c>
      <c r="B11" s="66" t="s">
        <v>344</v>
      </c>
      <c r="C11" s="75">
        <v>151000.0</v>
      </c>
      <c r="D11" s="64" t="s">
        <v>355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20.25" customHeight="1">
      <c r="A12" s="68" t="s">
        <v>356</v>
      </c>
      <c r="B12" s="76" t="s">
        <v>357</v>
      </c>
      <c r="C12" s="77">
        <f>C10/C11</f>
        <v>1.57615894</v>
      </c>
      <c r="D12" s="71" t="s">
        <v>358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4.25" customHeight="1">
      <c r="A13" s="60" t="s">
        <v>359</v>
      </c>
      <c r="B13" s="61" t="s">
        <v>360</v>
      </c>
      <c r="C13" s="53"/>
      <c r="D13" s="78" t="s">
        <v>361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4.25" customHeight="1">
      <c r="A14" s="64"/>
      <c r="B14" s="79"/>
      <c r="C14" s="79"/>
      <c r="D14" s="80" t="s">
        <v>362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8.0" customHeight="1">
      <c r="A15" s="65" t="s">
        <v>363</v>
      </c>
      <c r="B15" s="81" t="s">
        <v>364</v>
      </c>
      <c r="C15" s="82">
        <v>179000.0</v>
      </c>
      <c r="D15" s="64" t="s">
        <v>365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20.25" customHeight="1">
      <c r="A16" s="65" t="s">
        <v>343</v>
      </c>
      <c r="B16" s="66" t="s">
        <v>344</v>
      </c>
      <c r="C16" s="82">
        <v>151000.0</v>
      </c>
      <c r="D16" s="64" t="s">
        <v>366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8.0" customHeight="1">
      <c r="A17" s="68" t="s">
        <v>367</v>
      </c>
      <c r="B17" s="83" t="s">
        <v>368</v>
      </c>
      <c r="C17" s="84">
        <f>C15/C16</f>
        <v>1.185430464</v>
      </c>
      <c r="D17" s="71" t="s">
        <v>369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4.25" customHeight="1">
      <c r="A18" s="85" t="s">
        <v>370</v>
      </c>
      <c r="B18" s="61" t="s">
        <v>371</v>
      </c>
      <c r="C18" s="53"/>
      <c r="D18" s="64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4.25" customHeight="1">
      <c r="A19" s="64"/>
      <c r="B19" s="64"/>
      <c r="C19" s="64"/>
      <c r="D19" s="64" t="s">
        <v>351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8.0" customHeight="1">
      <c r="A20" s="65" t="s">
        <v>372</v>
      </c>
      <c r="B20" s="81" t="s">
        <v>373</v>
      </c>
      <c r="C20" s="67">
        <v>251000.0</v>
      </c>
      <c r="D20" s="64" t="s">
        <v>374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7.25" customHeight="1">
      <c r="A21" s="65" t="s">
        <v>375</v>
      </c>
      <c r="B21" s="66" t="s">
        <v>376</v>
      </c>
      <c r="C21" s="67">
        <v>470729.0</v>
      </c>
      <c r="D21" s="64" t="s">
        <v>377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8.0" customHeight="1">
      <c r="A22" s="65" t="s">
        <v>378</v>
      </c>
      <c r="B22" s="69" t="s">
        <v>379</v>
      </c>
      <c r="C22" s="86">
        <f>C20/C21</f>
        <v>0.5332155019</v>
      </c>
      <c r="D22" s="71" t="s">
        <v>380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4.25" customHeight="1">
      <c r="A23" s="60" t="s">
        <v>381</v>
      </c>
      <c r="B23" s="61" t="s">
        <v>382</v>
      </c>
      <c r="C23" s="53"/>
      <c r="D23" s="64" t="s">
        <v>383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4.25" customHeight="1">
      <c r="A24" s="64"/>
      <c r="B24" s="64"/>
      <c r="C24" s="64"/>
      <c r="D24" s="64" t="s">
        <v>384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7.25" customHeight="1">
      <c r="A25" s="65" t="s">
        <v>372</v>
      </c>
      <c r="B25" s="81" t="s">
        <v>373</v>
      </c>
      <c r="C25" s="67">
        <v>251000.0</v>
      </c>
      <c r="D25" s="64" t="s">
        <v>385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8.0" customHeight="1">
      <c r="A26" s="65" t="s">
        <v>386</v>
      </c>
      <c r="B26" s="66" t="s">
        <v>387</v>
      </c>
      <c r="C26" s="67">
        <v>721729.0</v>
      </c>
      <c r="D26" s="64" t="s">
        <v>388</v>
      </c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8.0" customHeight="1">
      <c r="A27" s="68" t="s">
        <v>389</v>
      </c>
      <c r="B27" s="66" t="s">
        <v>390</v>
      </c>
      <c r="C27" s="87">
        <f>C25/C26</f>
        <v>0.3477759658</v>
      </c>
      <c r="D27" s="64" t="s">
        <v>391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4.25" customHeight="1">
      <c r="A28" s="85" t="s">
        <v>392</v>
      </c>
      <c r="B28" s="61" t="s">
        <v>393</v>
      </c>
      <c r="C28" s="53"/>
      <c r="D28" s="78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4.25" customHeight="1">
      <c r="A29" s="64"/>
      <c r="B29" s="64"/>
      <c r="C29" s="64"/>
      <c r="D29" s="64" t="s">
        <v>394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7.25" customHeight="1">
      <c r="A30" s="65" t="s">
        <v>395</v>
      </c>
      <c r="B30" s="66" t="s">
        <v>396</v>
      </c>
      <c r="C30" s="67">
        <v>345000.0</v>
      </c>
      <c r="D30" s="64" t="s">
        <v>397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6.5" customHeight="1">
      <c r="A31" s="65" t="s">
        <v>386</v>
      </c>
      <c r="B31" s="66" t="s">
        <v>387</v>
      </c>
      <c r="C31" s="67">
        <v>721729.0</v>
      </c>
      <c r="D31" s="64" t="s">
        <v>398</v>
      </c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8.75" customHeight="1">
      <c r="A32" s="65" t="s">
        <v>399</v>
      </c>
      <c r="B32" s="69" t="s">
        <v>400</v>
      </c>
      <c r="C32" s="86">
        <f>C30/C31</f>
        <v>0.4780187577</v>
      </c>
      <c r="D32" s="71" t="s">
        <v>401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4.25" customHeight="1">
      <c r="A33" s="60" t="s">
        <v>402</v>
      </c>
      <c r="B33" s="61" t="s">
        <v>403</v>
      </c>
      <c r="C33" s="53"/>
      <c r="D33" s="64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4.25" customHeight="1">
      <c r="A34" s="64"/>
      <c r="B34" s="64"/>
      <c r="C34" s="64"/>
      <c r="D34" s="64" t="s">
        <v>404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6.5" customHeight="1">
      <c r="A35" s="65" t="s">
        <v>395</v>
      </c>
      <c r="B35" s="66" t="s">
        <v>396</v>
      </c>
      <c r="C35" s="67">
        <v>345000.0</v>
      </c>
      <c r="D35" s="80" t="s">
        <v>405</v>
      </c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65" t="s">
        <v>406</v>
      </c>
      <c r="B36" s="66" t="s">
        <v>407</v>
      </c>
      <c r="C36" s="67">
        <f>C5-C6</f>
        <v>198500</v>
      </c>
      <c r="D36" s="64" t="s">
        <v>408</v>
      </c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8.0" customHeight="1">
      <c r="A37" s="68" t="s">
        <v>409</v>
      </c>
      <c r="B37" s="69" t="s">
        <v>410</v>
      </c>
      <c r="C37" s="86">
        <f>C35/C36</f>
        <v>1.738035264</v>
      </c>
      <c r="D37" s="71" t="s">
        <v>411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4.25" customHeight="1">
      <c r="A38" s="60" t="s">
        <v>412</v>
      </c>
      <c r="B38" s="61" t="s">
        <v>413</v>
      </c>
      <c r="C38" s="53"/>
      <c r="D38" s="63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4.25" customHeight="1">
      <c r="A39" s="64"/>
      <c r="B39" s="64"/>
      <c r="C39" s="64"/>
      <c r="D39" s="73" t="s">
        <v>414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7.25" customHeight="1">
      <c r="A40" s="65" t="s">
        <v>415</v>
      </c>
      <c r="B40" s="66" t="s">
        <v>416</v>
      </c>
      <c r="C40" s="88">
        <v>247500.0</v>
      </c>
      <c r="D40" s="89" t="s">
        <v>417</v>
      </c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65" t="s">
        <v>418</v>
      </c>
      <c r="B41" s="66" t="s">
        <v>419</v>
      </c>
      <c r="C41" s="88">
        <v>100000.0</v>
      </c>
      <c r="D41" s="73" t="s">
        <v>420</v>
      </c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8.75" customHeight="1">
      <c r="A42" s="68" t="s">
        <v>421</v>
      </c>
      <c r="B42" s="69" t="s">
        <v>422</v>
      </c>
      <c r="C42" s="90">
        <f>C40/C41</f>
        <v>2.475</v>
      </c>
      <c r="D42" s="91" t="s">
        <v>423</v>
      </c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4.2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4.2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4.2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4.2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4.2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4.2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4.2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4.2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4.2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4.2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4.2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4.2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4.2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4.2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4.2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4.2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4.2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4.2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4.2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4.2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4.2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4.2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4.2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4.2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4.2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4.2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4.2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4.2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4.2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4.2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4.2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4.2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4.2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4.2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4.2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4.2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4.2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4.2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4.2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4.2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4.2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4.2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4.2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4.2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4.2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4.2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4.2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4.2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4.2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4.2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4.2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4.2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4.2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4.2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4.2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4.2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4.2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4.2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4.2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4.2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4.2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4.2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4.2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4.2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4.2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4.2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4.2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4.2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4.2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4.2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4.2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4.2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4.2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4.2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4.2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4.2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4.2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4.2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4.2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4.2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4.2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4.2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4.2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4.2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4.2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4.2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4.2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4.2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4.2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4.2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4.2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4.2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4.2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4.2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4.2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4.2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4.2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4.2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4.2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4.2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4.2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4.2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4.2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4.2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4.2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4.2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4.2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4.2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4.2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4.2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4.2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4.2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4.2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4.2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4.2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4.2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4.2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4.2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4.2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4.2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4.2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4.2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4.2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4.2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4.2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4.2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4.2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4.2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4.2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4.2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4.2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4.2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4.2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4.2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4.2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4.2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4.2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4.2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4.2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4.2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4.2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4.2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4.2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4.2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4.2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4.2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4.2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4.2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4.2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4.2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4.2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4.2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4.2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4.2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4.2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4.2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4.2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4.2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4.2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4.2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4.2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4.2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4.2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4.2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4.2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4.2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4.2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4.2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4.2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4.2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4.2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4.2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4.2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4.2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4.2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4.2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4.2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4.2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4.2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4.2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4.2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4.2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4.2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4.2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4.2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4.2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4.2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4.2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4.2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4.2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4.2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4.2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B23:C23"/>
    <mergeCell ref="B28:C28"/>
    <mergeCell ref="B33:C33"/>
    <mergeCell ref="B38:C38"/>
    <mergeCell ref="A1:C1"/>
    <mergeCell ref="D1:D2"/>
    <mergeCell ref="A2:C2"/>
    <mergeCell ref="B3:C3"/>
    <mergeCell ref="B13:C13"/>
    <mergeCell ref="B18:C18"/>
    <mergeCell ref="B8:C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2026-10-13T04:15:55Z</dcterms:created>
  <dc:creator>Sandhosh Rajan</dc:creator>
</cp:coreProperties>
</file>